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10ano" sheetId="1" r:id="rId4"/>
  </sheets>
  <definedNames/>
  <calcPr/>
  <extLst>
    <ext uri="GoogleSheetsCustomDataVersion2">
      <go:sheetsCustomData xmlns:go="http://customooxmlschemas.google.com/" r:id="rId5" roundtripDataChecksum="7Yw3sg9PFpZJKuNKF3154GCV6MtdnHy4QbHcIoCR4Ws="/>
    </ext>
  </extLst>
</workbook>
</file>

<file path=xl/sharedStrings.xml><?xml version="1.0" encoding="utf-8"?>
<sst xmlns="http://schemas.openxmlformats.org/spreadsheetml/2006/main" count="193" uniqueCount="171">
  <si>
    <t>Desenvolvimento de Software - 2026/2029</t>
  </si>
  <si>
    <t>POCH | Projeto n.º</t>
  </si>
  <si>
    <t>Curso n.º</t>
  </si>
  <si>
    <t>10.º Ano (2026/2027)</t>
  </si>
  <si>
    <t>11.º Ano (2027/2028)</t>
  </si>
  <si>
    <t>12.º Ano  (2028/2029)</t>
  </si>
  <si>
    <t>Componentes de formação</t>
  </si>
  <si>
    <t>N.º</t>
  </si>
  <si>
    <t>Módulos/UFCD</t>
  </si>
  <si>
    <t>Horas</t>
  </si>
  <si>
    <t>Total</t>
  </si>
  <si>
    <t>Sociocultural</t>
  </si>
  <si>
    <t>SUB TOTAL</t>
  </si>
  <si>
    <t>Português</t>
  </si>
  <si>
    <t>Textos Líricos I e Textos Narrativos I</t>
  </si>
  <si>
    <t>Textos Argumentativos e Textos de Teatro II</t>
  </si>
  <si>
    <t>Textos Líricos IV e Textos Narrativos IV</t>
  </si>
  <si>
    <t>Textos de Teatro I e Textos Líricos II</t>
  </si>
  <si>
    <t>Textos Narrativos III</t>
  </si>
  <si>
    <t>Texto Épico-Lírico e Textos Líricos V</t>
  </si>
  <si>
    <t>Texto Épico e Textos Narrativos II</t>
  </si>
  <si>
    <t>Textos Líricos III</t>
  </si>
  <si>
    <t>Textos Narrativos V</t>
  </si>
  <si>
    <t>Inglês</t>
  </si>
  <si>
    <t>Eu e o Mundo profissional</t>
  </si>
  <si>
    <t>Os Media e a Comunicação Global</t>
  </si>
  <si>
    <t>Os Jovens e o Consumo</t>
  </si>
  <si>
    <t>Um Mundo de muitas línguas</t>
  </si>
  <si>
    <t>Os Jovens na Era Global</t>
  </si>
  <si>
    <t>O Mundo do Trabalho</t>
  </si>
  <si>
    <t>O Mundo Tecnológico</t>
  </si>
  <si>
    <t>O Mundo à nossa volta</t>
  </si>
  <si>
    <t>A Comunicação no Mundo Profissional</t>
  </si>
  <si>
    <t>Área de Integração</t>
  </si>
  <si>
    <t>Pessoa e cultura; A região e o espaço nacional; Um desafio global: O desenvolvimento sustentável.</t>
  </si>
  <si>
    <t>Homem-natureza: Uma relação sustentável?; A identidade regional; Da Alexandria à era digital: difusão do conhecimento e suportes.</t>
  </si>
  <si>
    <t>A construção do social; A cidadania europeia; Os fins e os meios: Que ética para a vida humana?</t>
  </si>
  <si>
    <t>Estrutura familiar e dinâmica social; O trabalho: Sua evolução e estatuto no ocidente; O papel das organizações internacionais.</t>
  </si>
  <si>
    <t>A construção da democracia; A integração no espaço europeu; Das economias-mundo à economia-global.</t>
  </si>
  <si>
    <t>A comunicação e a construção do individuo; O empreendedorismo; Da multiplicidade dos saberes à ciência como construção racional do real.</t>
  </si>
  <si>
    <t>Educação Física</t>
  </si>
  <si>
    <t>Jogos Desportivos Coletivos I</t>
  </si>
  <si>
    <t>Aptidão Física</t>
  </si>
  <si>
    <t>Ginástica I – Solo/ Aparelhos</t>
  </si>
  <si>
    <t>Jogos Desportivos Coletivos II</t>
  </si>
  <si>
    <t>Jogos Desportivos Coletivos III</t>
  </si>
  <si>
    <t>Dança I - Tradicional Portuguesa</t>
  </si>
  <si>
    <t>Ginástica II – Solo/ Aparelhos</t>
  </si>
  <si>
    <t>Ginástica III - Acrobática</t>
  </si>
  <si>
    <t>ATL/RAQ/PAT I - Atletismo</t>
  </si>
  <si>
    <t>Dança II - Tradicional Portuguesa</t>
  </si>
  <si>
    <t>Dança III - Tradicional Portuguesa</t>
  </si>
  <si>
    <t>ATL/RAQ/PAT II - Badminton</t>
  </si>
  <si>
    <t>Atividades de Exploração da Natureza</t>
  </si>
  <si>
    <t>Atividades Físicas/ Contextos e Saúde I</t>
  </si>
  <si>
    <t>Atividades Físicas/ Contextos e Saúde II</t>
  </si>
  <si>
    <t>Atividades Físicas/ Contextos e Saúde III</t>
  </si>
  <si>
    <t>Gestão de Projetos e Desenvolvimento Pessoal</t>
  </si>
  <si>
    <t>Self Marketing e Gestão de Carreira</t>
  </si>
  <si>
    <t>Empreendedorismo e Gestão de Projetos</t>
  </si>
  <si>
    <t>Empreendedorismo Social e Inovação Social</t>
  </si>
  <si>
    <t>Científica</t>
  </si>
  <si>
    <t>Matemática</t>
  </si>
  <si>
    <t>Cidadania e Desenvolvimento</t>
  </si>
  <si>
    <t>P1</t>
  </si>
  <si>
    <t>Matemática para a Cidadania</t>
  </si>
  <si>
    <t>P3</t>
  </si>
  <si>
    <t>Geometria Analítica</t>
  </si>
  <si>
    <t>P5</t>
  </si>
  <si>
    <t>Probabiliddes</t>
  </si>
  <si>
    <t>P2</t>
  </si>
  <si>
    <t>Estatística</t>
  </si>
  <si>
    <t>OP3</t>
  </si>
  <si>
    <t>Modelos de Funções Periódicas</t>
  </si>
  <si>
    <t>P6</t>
  </si>
  <si>
    <t>Taxas de Variação e otimização</t>
  </si>
  <si>
    <t>OP8</t>
  </si>
  <si>
    <t>Geometria Sintética</t>
  </si>
  <si>
    <t>P4</t>
  </si>
  <si>
    <t>Funções</t>
  </si>
  <si>
    <t>OP14</t>
  </si>
  <si>
    <t>Matemática Financeira e Fiscal</t>
  </si>
  <si>
    <t>OP5</t>
  </si>
  <si>
    <t>Modelos Discretos</t>
  </si>
  <si>
    <t>OP11</t>
  </si>
  <si>
    <t>Distâncias Inacessíveis</t>
  </si>
  <si>
    <t>OP15</t>
  </si>
  <si>
    <t>Matemática Comercial</t>
  </si>
  <si>
    <t>Física e Química</t>
  </si>
  <si>
    <t>F4 - Circuitos Elétricos</t>
  </si>
  <si>
    <t>F3 - Luz e Fontes de Luz E1F3 - Óptica Geométrica</t>
  </si>
  <si>
    <t>Q1 - Estrutura Atómica - Tabela Periódica. Ligação Química</t>
  </si>
  <si>
    <t>F1 - Forças e Movimentos E2F1 - Trabalho e Energia</t>
  </si>
  <si>
    <t>Q5 - Reações de Oxidação - Redução EQ5 . Electroquímica</t>
  </si>
  <si>
    <t>Q3 - Reações Químicas. Equilíbrio Químico Homogéneo</t>
  </si>
  <si>
    <t>Q2 - Soluções</t>
  </si>
  <si>
    <t>Q7 - Compostos Orgânicos</t>
  </si>
  <si>
    <t>F6 - Som</t>
  </si>
  <si>
    <t>[Nome da Disciplina]</t>
  </si>
  <si>
    <t>Tecnológica</t>
  </si>
  <si>
    <t>Sistemas e Redes</t>
  </si>
  <si>
    <t>UC01989</t>
  </si>
  <si>
    <t>Montar, instalar e manter equipamentos informáticos</t>
  </si>
  <si>
    <t>UC02829</t>
  </si>
  <si>
    <t>Instalar, configurar e parametrizar sistemas operativos</t>
  </si>
  <si>
    <t>UC01990</t>
  </si>
  <si>
    <t>Instalar, configurar e atualizar software complementar aos sistemas operativos</t>
  </si>
  <si>
    <t>UC02817</t>
  </si>
  <si>
    <t>Instalar e interligar redes</t>
  </si>
  <si>
    <t>UC00241</t>
  </si>
  <si>
    <t>Configurar protocolos e serviços de rede</t>
  </si>
  <si>
    <t>UC00613</t>
  </si>
  <si>
    <t>Gerir políticas de segurança em sistemas informáticos</t>
  </si>
  <si>
    <t>UC00616</t>
  </si>
  <si>
    <t>Implementar as normas de segurança e saúde no trabalho no setor de Informática</t>
  </si>
  <si>
    <t>Fundamentos de Programação</t>
  </si>
  <si>
    <t>UC00245</t>
  </si>
  <si>
    <t>Desenvolver algoritmos</t>
  </si>
  <si>
    <t>UC00606</t>
  </si>
  <si>
    <t>Desenvolver programas em linguagem estruturada</t>
  </si>
  <si>
    <t>UC00618</t>
  </si>
  <si>
    <t>Criar aplicações em linguagem de programação Python</t>
  </si>
  <si>
    <t>Bases de Dados</t>
  </si>
  <si>
    <t>UC00602</t>
  </si>
  <si>
    <t>Modelar bases de dados relacionais</t>
  </si>
  <si>
    <t>UC00664</t>
  </si>
  <si>
    <t>Criar bases de dados NoSQL</t>
  </si>
  <si>
    <t>UC02830</t>
  </si>
  <si>
    <t>Desenvolver uma base de dados com linguagem SQL</t>
  </si>
  <si>
    <t>Desenvolvimento Web</t>
  </si>
  <si>
    <t>UC02833</t>
  </si>
  <si>
    <t>Conceber aplicações para a web na vertente frontend</t>
  </si>
  <si>
    <t>UC02834</t>
  </si>
  <si>
    <t>Desenvolver programação para a web</t>
  </si>
  <si>
    <t>UC02832</t>
  </si>
  <si>
    <t>Planear, instalar e configurar um sistema de gestão de conteúdos</t>
  </si>
  <si>
    <t>UC00617</t>
  </si>
  <si>
    <t>Utilizar serviços Git e GitHub</t>
  </si>
  <si>
    <t>UC02831</t>
  </si>
  <si>
    <t>Desenvolver uma interface para a base de dados com uma linguagem de programação</t>
  </si>
  <si>
    <t>UC00621</t>
  </si>
  <si>
    <t>Criar aplicações em React</t>
  </si>
  <si>
    <t>Programação Avançada</t>
  </si>
  <si>
    <t>UC00607</t>
  </si>
  <si>
    <t>Desenvolver programas complexos em linguagem de programação estruturada</t>
  </si>
  <si>
    <t>UC00608</t>
  </si>
  <si>
    <t>Desenvolver programas em linguagem orientada a objetos</t>
  </si>
  <si>
    <t>UC00619</t>
  </si>
  <si>
    <t>Desenvolver aplicações em linguagem JAVA</t>
  </si>
  <si>
    <t>UC00669</t>
  </si>
  <si>
    <t>Conceber programas em linguagem C/C++</t>
  </si>
  <si>
    <t>Aplicações Móveis</t>
  </si>
  <si>
    <t>UC02835</t>
  </si>
  <si>
    <t>Desenvolver aplicações para dispositivos móveis</t>
  </si>
  <si>
    <t>Segurança Aplicada</t>
  </si>
  <si>
    <t>UC02836</t>
  </si>
  <si>
    <t>Programar parâmetros de segurança no desenvolvimento de software</t>
  </si>
  <si>
    <t>UC00627</t>
  </si>
  <si>
    <t>Instalar e configurar servidores Web</t>
  </si>
  <si>
    <t>Projeto de Software</t>
  </si>
  <si>
    <t>UC02837</t>
  </si>
  <si>
    <t>Desenvolver projetos de programação</t>
  </si>
  <si>
    <t>UC02823</t>
  </si>
  <si>
    <t>Produzir relatórios e documentos técnicos</t>
  </si>
  <si>
    <t>Total da Formação em Sala</t>
  </si>
  <si>
    <t>Estágio / FCT</t>
  </si>
  <si>
    <t>TOTAL DA FORMAÇÃO</t>
  </si>
  <si>
    <t>Educação Moral e Religiosa</t>
  </si>
  <si>
    <t>EMR I</t>
  </si>
  <si>
    <t>EMR II</t>
  </si>
  <si>
    <t>EMR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</si>
</sst>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rial"/>
      <scheme val="minor"/>
    </font>
    <font>
      <sz val="16.0"/>
      <color theme="1"/>
      <name val="Calibri"/>
    </font>
    <font>
      <b/>
      <sz val="18.0"/>
      <color theme="1"/>
      <name val="Calibri"/>
    </font>
    <font>
      <sz val="12.0"/>
      <color theme="1"/>
      <name val="Calibri"/>
    </font>
    <font/>
    <font>
      <sz val="11.0"/>
      <color theme="1"/>
      <name val="Arial"/>
    </font>
    <font>
      <sz val="10.0"/>
      <color theme="1"/>
      <name val="Calibri"/>
    </font>
    <font>
      <sz val="8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b/>
      <sz val="8.0"/>
      <color theme="0"/>
      <name val="Calibri"/>
    </font>
    <font>
      <sz val="8.0"/>
      <color theme="0"/>
      <name val="Calibri"/>
    </font>
    <font>
      <sz val="8.0"/>
      <color theme="1"/>
      <name val="Arial"/>
    </font>
    <font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7">
    <border/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/>
      <top style="medium">
        <color rgb="FF000000"/>
      </top>
    </border>
    <border>
      <left/>
      <top style="medium">
        <color rgb="FF000000"/>
      </top>
    </border>
    <border>
      <right/>
      <top style="medium">
        <color rgb="FF000000"/>
      </top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bottom/>
    </border>
    <border>
      <left style="medium">
        <color rgb="FF000000"/>
      </left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/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/>
    </border>
    <border>
      <left/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</border>
    <border>
      <left/>
      <right style="medium">
        <color rgb="FF000000"/>
      </right>
    </border>
    <border>
      <right style="medium">
        <color rgb="FF000000"/>
      </right>
    </border>
    <border>
      <left/>
      <right style="thin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right"/>
    </xf>
    <xf borderId="1" fillId="2" fontId="1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right"/>
    </xf>
    <xf borderId="4" fillId="3" fontId="6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4" fillId="3" fontId="8" numFmtId="0" xfId="0" applyAlignment="1" applyBorder="1" applyFont="1">
      <alignment horizontal="center"/>
    </xf>
    <xf borderId="6" fillId="4" fontId="9" numFmtId="0" xfId="0" applyAlignment="1" applyBorder="1" applyFill="1" applyFont="1">
      <alignment horizontal="center" readingOrder="0"/>
    </xf>
    <xf borderId="7" fillId="0" fontId="4" numFmtId="0" xfId="0" applyBorder="1" applyFont="1"/>
    <xf borderId="8" fillId="0" fontId="4" numFmtId="0" xfId="0" applyBorder="1" applyFont="1"/>
    <xf borderId="6" fillId="5" fontId="9" numFmtId="0" xfId="0" applyAlignment="1" applyBorder="1" applyFill="1" applyFont="1">
      <alignment horizontal="center" readingOrder="0"/>
    </xf>
    <xf borderId="9" fillId="0" fontId="4" numFmtId="0" xfId="0" applyBorder="1" applyFont="1"/>
    <xf borderId="10" fillId="5" fontId="8" numFmtId="0" xfId="0" applyAlignment="1" applyBorder="1" applyFont="1">
      <alignment horizontal="center"/>
    </xf>
    <xf borderId="11" fillId="0" fontId="10" numFmtId="0" xfId="0" applyAlignment="1" applyBorder="1" applyFont="1">
      <alignment horizontal="center" vertical="center"/>
    </xf>
    <xf borderId="12" fillId="3" fontId="7" numFmtId="0" xfId="0" applyAlignment="1" applyBorder="1" applyFont="1">
      <alignment vertical="center"/>
    </xf>
    <xf borderId="13" fillId="5" fontId="10" numFmtId="0" xfId="0" applyAlignment="1" applyBorder="1" applyFont="1">
      <alignment horizontal="center" vertical="center"/>
    </xf>
    <xf borderId="14" fillId="5" fontId="10" numFmtId="0" xfId="0" applyAlignment="1" applyBorder="1" applyFont="1">
      <alignment horizontal="center" vertical="center"/>
    </xf>
    <xf borderId="15" fillId="5" fontId="10" numFmtId="0" xfId="0" applyAlignment="1" applyBorder="1" applyFont="1">
      <alignment horizontal="center" vertical="center"/>
    </xf>
    <xf borderId="16" fillId="5" fontId="10" numFmtId="0" xfId="0" applyAlignment="1" applyBorder="1" applyFont="1">
      <alignment horizontal="center" vertical="center"/>
    </xf>
    <xf borderId="17" fillId="5" fontId="10" numFmtId="0" xfId="0" applyAlignment="1" applyBorder="1" applyFont="1">
      <alignment horizontal="center" vertical="center"/>
    </xf>
    <xf borderId="18" fillId="5" fontId="10" numFmtId="0" xfId="0" applyAlignment="1" applyBorder="1" applyFont="1">
      <alignment horizontal="center" vertical="center"/>
    </xf>
    <xf borderId="19" fillId="6" fontId="11" numFmtId="0" xfId="0" applyAlignment="1" applyBorder="1" applyFill="1" applyFont="1">
      <alignment horizontal="center" shrinkToFit="0" vertical="center" wrapText="1"/>
    </xf>
    <xf borderId="20" fillId="3" fontId="11" numFmtId="0" xfId="0" applyAlignment="1" applyBorder="1" applyFont="1">
      <alignment textRotation="90" vertical="center"/>
    </xf>
    <xf borderId="21" fillId="6" fontId="12" numFmtId="0" xfId="0" applyAlignment="1" applyBorder="1" applyFont="1">
      <alignment horizontal="center" vertical="center"/>
    </xf>
    <xf borderId="22" fillId="6" fontId="12" numFmtId="0" xfId="0" applyAlignment="1" applyBorder="1" applyFont="1">
      <alignment horizontal="right" vertical="center"/>
    </xf>
    <xf borderId="23" fillId="6" fontId="12" numFmtId="0" xfId="0" applyAlignment="1" applyBorder="1" applyFont="1">
      <alignment horizontal="center" vertical="center"/>
    </xf>
    <xf borderId="16" fillId="6" fontId="12" numFmtId="0" xfId="0" applyAlignment="1" applyBorder="1" applyFont="1">
      <alignment horizontal="center" vertical="center"/>
    </xf>
    <xf borderId="17" fillId="7" fontId="11" numFmtId="0" xfId="0" applyAlignment="1" applyBorder="1" applyFill="1" applyFont="1">
      <alignment horizontal="center" vertical="center"/>
    </xf>
    <xf borderId="24" fillId="2" fontId="7" numFmtId="0" xfId="0" applyAlignment="1" applyBorder="1" applyFont="1">
      <alignment horizontal="center" vertical="center"/>
    </xf>
    <xf borderId="20" fillId="3" fontId="10" numFmtId="0" xfId="0" applyAlignment="1" applyBorder="1" applyFont="1">
      <alignment textRotation="90" vertical="center"/>
    </xf>
    <xf borderId="25" fillId="0" fontId="7" numFmtId="0" xfId="0" applyAlignment="1" applyBorder="1" applyFont="1">
      <alignment horizontal="center" vertical="center"/>
    </xf>
    <xf borderId="26" fillId="0" fontId="7" numFmtId="0" xfId="0" applyAlignment="1" applyBorder="1" applyFont="1">
      <alignment horizontal="left" vertical="center"/>
    </xf>
    <xf borderId="27" fillId="0" fontId="7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7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left" vertical="center"/>
    </xf>
    <xf borderId="33" fillId="0" fontId="7" numFmtId="0" xfId="0" applyAlignment="1" applyBorder="1" applyFont="1">
      <alignment horizontal="center" vertical="center"/>
    </xf>
    <xf borderId="34" fillId="0" fontId="4" numFmtId="0" xfId="0" applyBorder="1" applyFont="1"/>
    <xf borderId="35" fillId="0" fontId="4" numFmtId="0" xfId="0" applyBorder="1" applyFont="1"/>
    <xf borderId="36" fillId="0" fontId="7" numFmtId="0" xfId="0" applyAlignment="1" applyBorder="1" applyFont="1">
      <alignment horizontal="left" vertical="center"/>
    </xf>
    <xf borderId="37" fillId="0" fontId="4" numFmtId="0" xfId="0" applyBorder="1" applyFont="1"/>
    <xf borderId="38" fillId="0" fontId="7" numFmtId="0" xfId="0" applyAlignment="1" applyBorder="1" applyFont="1">
      <alignment horizontal="center" vertical="center"/>
    </xf>
    <xf borderId="39" fillId="0" fontId="7" numFmtId="0" xfId="0" applyAlignment="1" applyBorder="1" applyFont="1">
      <alignment horizontal="left" vertical="center"/>
    </xf>
    <xf borderId="40" fillId="0" fontId="7" numFmtId="0" xfId="0" applyAlignment="1" applyBorder="1" applyFont="1">
      <alignment horizontal="center" vertical="center"/>
    </xf>
    <xf borderId="40" fillId="0" fontId="4" numFmtId="0" xfId="0" applyBorder="1" applyFont="1"/>
    <xf borderId="41" fillId="0" fontId="4" numFmtId="0" xfId="0" applyBorder="1" applyFont="1"/>
    <xf borderId="42" fillId="0" fontId="4" numFmtId="0" xfId="0" applyBorder="1" applyFont="1"/>
    <xf borderId="43" fillId="0" fontId="7" numFmtId="0" xfId="0" applyAlignment="1" applyBorder="1" applyFont="1">
      <alignment horizontal="center" vertical="center"/>
    </xf>
    <xf borderId="44" fillId="0" fontId="7" numFmtId="0" xfId="0" applyAlignment="1" applyBorder="1" applyFont="1">
      <alignment horizontal="left" vertical="center"/>
    </xf>
    <xf borderId="45" fillId="0" fontId="7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center" vertical="center"/>
    </xf>
    <xf borderId="26" fillId="0" fontId="7" numFmtId="0" xfId="0" applyAlignment="1" applyBorder="1" applyFont="1">
      <alignment horizontal="left" shrinkToFit="0" vertical="center" wrapText="1"/>
    </xf>
    <xf borderId="46" fillId="0" fontId="7" numFmtId="0" xfId="0" applyAlignment="1" applyBorder="1" applyFont="1">
      <alignment horizontal="center" vertical="center"/>
    </xf>
    <xf borderId="39" fillId="0" fontId="7" numFmtId="0" xfId="0" applyAlignment="1" applyBorder="1" applyFont="1">
      <alignment horizontal="left" shrinkToFit="0" vertical="center" wrapText="1"/>
    </xf>
    <xf borderId="47" fillId="0" fontId="7" numFmtId="0" xfId="0" applyAlignment="1" applyBorder="1" applyFont="1">
      <alignment horizontal="center" vertical="center"/>
    </xf>
    <xf borderId="48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29" fillId="0" fontId="7" numFmtId="0" xfId="0" applyAlignment="1" applyBorder="1" applyFont="1">
      <alignment horizontal="center" shrinkToFit="0" vertical="center" wrapText="1"/>
    </xf>
    <xf borderId="49" fillId="0" fontId="7" numFmtId="0" xfId="0" applyAlignment="1" applyBorder="1" applyFont="1">
      <alignment horizontal="center"/>
    </xf>
    <xf borderId="45" fillId="0" fontId="7" numFmtId="0" xfId="0" applyAlignment="1" applyBorder="1" applyFont="1">
      <alignment horizontal="center"/>
    </xf>
    <xf borderId="50" fillId="0" fontId="7" numFmtId="0" xfId="0" applyAlignment="1" applyBorder="1" applyFont="1">
      <alignment horizontal="center" vertical="center"/>
    </xf>
    <xf borderId="51" fillId="0" fontId="7" numFmtId="0" xfId="0" applyAlignment="1" applyBorder="1" applyFont="1">
      <alignment horizontal="center"/>
    </xf>
    <xf borderId="50" fillId="0" fontId="7" numFmtId="0" xfId="0" applyAlignment="1" applyBorder="1" applyFont="1">
      <alignment horizontal="center"/>
    </xf>
    <xf borderId="44" fillId="0" fontId="7" numFmtId="0" xfId="0" applyAlignment="1" applyBorder="1" applyFont="1">
      <alignment horizontal="left" shrinkToFit="0" vertical="center" wrapText="1"/>
    </xf>
    <xf borderId="51" fillId="0" fontId="7" numFmtId="0" xfId="0" applyAlignment="1" applyBorder="1" applyFont="1">
      <alignment horizontal="center" vertical="center"/>
    </xf>
    <xf borderId="37" fillId="0" fontId="7" numFmtId="0" xfId="0" applyAlignment="1" applyBorder="1" applyFont="1">
      <alignment horizontal="center" vertical="center"/>
    </xf>
    <xf borderId="52" fillId="0" fontId="7" numFmtId="0" xfId="0" applyAlignment="1" applyBorder="1" applyFont="1">
      <alignment horizontal="center"/>
    </xf>
    <xf borderId="47" fillId="0" fontId="7" numFmtId="0" xfId="0" applyAlignment="1" applyBorder="1" applyFont="1">
      <alignment horizontal="center"/>
    </xf>
    <xf borderId="24" fillId="2" fontId="13" numFmtId="0" xfId="0" applyAlignment="1" applyBorder="1" applyFont="1">
      <alignment horizontal="center" shrinkToFit="0" vertical="center" wrapText="1"/>
    </xf>
    <xf borderId="26" fillId="0" fontId="13" numFmtId="0" xfId="0" applyAlignment="1" applyBorder="1" applyFont="1">
      <alignment horizontal="left" vertical="center"/>
    </xf>
    <xf borderId="27" fillId="0" fontId="13" numFmtId="0" xfId="0" applyAlignment="1" applyBorder="1" applyFont="1">
      <alignment horizontal="center" vertical="center"/>
    </xf>
    <xf borderId="32" fillId="0" fontId="13" numFmtId="0" xfId="0" applyAlignment="1" applyBorder="1" applyFont="1">
      <alignment horizontal="left" vertical="center"/>
    </xf>
    <xf borderId="45" fillId="0" fontId="13" numFmtId="0" xfId="0" applyAlignment="1" applyBorder="1" applyFont="1">
      <alignment horizontal="center" vertical="center"/>
    </xf>
    <xf borderId="31" fillId="0" fontId="13" numFmtId="0" xfId="0" applyAlignment="1" applyBorder="1" applyFont="1">
      <alignment horizontal="center" vertical="center"/>
    </xf>
    <xf borderId="53" fillId="3" fontId="10" numFmtId="0" xfId="0" applyAlignment="1" applyBorder="1" applyFont="1">
      <alignment horizontal="center" textRotation="90" vertical="center"/>
    </xf>
    <xf borderId="25" fillId="0" fontId="7" numFmtId="0" xfId="0" applyAlignment="1" applyBorder="1" applyFont="1">
      <alignment horizontal="center" shrinkToFit="0" vertical="center" wrapText="1"/>
    </xf>
    <xf borderId="54" fillId="0" fontId="7" numFmtId="0" xfId="0" applyAlignment="1" applyBorder="1" applyFont="1">
      <alignment shrinkToFit="0" vertical="center" wrapText="1"/>
    </xf>
    <xf borderId="54" fillId="0" fontId="7" numFmtId="0" xfId="0" applyAlignment="1" applyBorder="1" applyFont="1">
      <alignment horizontal="center" shrinkToFit="0" vertical="center" wrapText="1"/>
    </xf>
    <xf borderId="24" fillId="0" fontId="7" numFmtId="0" xfId="0" applyAlignment="1" applyBorder="1" applyFont="1">
      <alignment horizontal="center" shrinkToFit="0" vertical="center" wrapText="1"/>
    </xf>
    <xf borderId="31" fillId="0" fontId="7" numFmtId="0" xfId="0" applyAlignment="1" applyBorder="1" applyFont="1">
      <alignment horizontal="center" shrinkToFit="0" vertical="center" wrapText="1"/>
    </xf>
    <xf borderId="55" fillId="0" fontId="7" numFmtId="0" xfId="0" applyAlignment="1" applyBorder="1" applyFont="1">
      <alignment shrinkToFit="0" vertical="center" wrapText="1"/>
    </xf>
    <xf borderId="55" fillId="0" fontId="7" numFmtId="0" xfId="0" applyAlignment="1" applyBorder="1" applyFont="1">
      <alignment horizontal="center" shrinkToFit="0" vertical="center" wrapText="1"/>
    </xf>
    <xf borderId="38" fillId="0" fontId="7" numFmtId="0" xfId="0" applyAlignment="1" applyBorder="1" applyFont="1">
      <alignment horizontal="center" shrinkToFit="0" vertical="center" wrapText="1"/>
    </xf>
    <xf borderId="56" fillId="0" fontId="7" numFmtId="0" xfId="0" applyAlignment="1" applyBorder="1" applyFont="1">
      <alignment shrinkToFit="0" vertical="center" wrapText="1"/>
    </xf>
    <xf borderId="56" fillId="0" fontId="7" numFmtId="0" xfId="0" applyAlignment="1" applyBorder="1" applyFont="1">
      <alignment horizontal="center" shrinkToFit="0" vertical="center" wrapText="1"/>
    </xf>
    <xf borderId="57" fillId="0" fontId="7" numFmtId="0" xfId="0" applyAlignment="1" applyBorder="1" applyFont="1">
      <alignment horizontal="center" shrinkToFit="0" vertical="center" wrapText="1"/>
    </xf>
    <xf borderId="28" fillId="0" fontId="7" numFmtId="0" xfId="0" applyAlignment="1" applyBorder="1" applyFont="1">
      <alignment horizontal="center" shrinkToFit="0" vertical="center" wrapText="1"/>
    </xf>
    <xf borderId="58" fillId="0" fontId="4" numFmtId="0" xfId="0" applyBorder="1" applyFont="1"/>
    <xf borderId="33" fillId="0" fontId="7" numFmtId="0" xfId="0" applyAlignment="1" applyBorder="1" applyFont="1">
      <alignment horizontal="center"/>
    </xf>
    <xf borderId="59" fillId="0" fontId="7" numFmtId="0" xfId="0" applyAlignment="1" applyBorder="1" applyFont="1">
      <alignment horizontal="left" vertical="center"/>
    </xf>
    <xf borderId="60" fillId="0" fontId="7" numFmtId="0" xfId="0" applyAlignment="1" applyBorder="1" applyFont="1">
      <alignment horizontal="left" shrinkToFit="0" vertical="center" wrapText="1"/>
    </xf>
    <xf borderId="61" fillId="0" fontId="7" numFmtId="0" xfId="0" applyAlignment="1" applyBorder="1" applyFont="1">
      <alignment horizontal="left" vertical="center"/>
    </xf>
    <xf borderId="62" fillId="0" fontId="4" numFmtId="0" xfId="0" applyBorder="1" applyFont="1"/>
    <xf borderId="63" fillId="0" fontId="7" numFmtId="0" xfId="0" applyAlignment="1" applyBorder="1" applyFont="1">
      <alignment horizontal="left" vertical="center"/>
    </xf>
    <xf borderId="30" fillId="0" fontId="7" numFmtId="0" xfId="0" applyAlignment="1" applyBorder="1" applyFont="1">
      <alignment horizontal="center" vertical="center"/>
    </xf>
    <xf borderId="64" fillId="6" fontId="12" numFmtId="0" xfId="0" applyAlignment="1" applyBorder="1" applyFont="1">
      <alignment horizontal="center" vertical="center"/>
    </xf>
    <xf borderId="65" fillId="6" fontId="12" numFmtId="0" xfId="0" applyAlignment="1" applyBorder="1" applyFont="1">
      <alignment horizontal="right" vertical="center"/>
    </xf>
    <xf borderId="66" fillId="0" fontId="4" numFmtId="0" xfId="0" applyBorder="1" applyFont="1"/>
    <xf borderId="67" fillId="6" fontId="12" numFmtId="0" xfId="0" applyAlignment="1" applyBorder="1" applyFont="1">
      <alignment horizontal="right" vertical="center"/>
    </xf>
    <xf borderId="68" fillId="0" fontId="4" numFmtId="0" xfId="0" applyBorder="1" applyFont="1"/>
    <xf borderId="10" fillId="7" fontId="11" numFmtId="0" xfId="0" applyAlignment="1" applyBorder="1" applyFont="1">
      <alignment horizontal="center" vertical="center"/>
    </xf>
    <xf borderId="24" fillId="2" fontId="7" numFmtId="11" xfId="0" applyAlignment="1" applyBorder="1" applyFont="1" applyNumberFormat="1">
      <alignment horizontal="center" readingOrder="0" shrinkToFit="0" vertical="center" wrapText="1"/>
    </xf>
    <xf borderId="69" fillId="3" fontId="10" numFmtId="0" xfId="0" applyAlignment="1" applyBorder="1" applyFont="1">
      <alignment textRotation="90" vertical="center"/>
    </xf>
    <xf borderId="45" fillId="0" fontId="7" numFmtId="0" xfId="0" applyAlignment="1" applyBorder="1" applyFont="1">
      <alignment horizontal="center" readingOrder="0"/>
    </xf>
    <xf borderId="29" fillId="8" fontId="7" numFmtId="0" xfId="0" applyAlignment="1" applyBorder="1" applyFill="1" applyFont="1">
      <alignment horizontal="center" shrinkToFit="0" vertical="center" wrapText="1"/>
    </xf>
    <xf borderId="25" fillId="8" fontId="7" numFmtId="0" xfId="0" applyAlignment="1" applyBorder="1" applyFont="1">
      <alignment horizontal="center" vertical="center"/>
    </xf>
    <xf borderId="26" fillId="8" fontId="7" numFmtId="0" xfId="0" applyAlignment="1" applyBorder="1" applyFont="1">
      <alignment horizontal="left" vertical="center"/>
    </xf>
    <xf borderId="27" fillId="8" fontId="7" numFmtId="0" xfId="0" applyAlignment="1" applyBorder="1" applyFont="1">
      <alignment horizontal="center"/>
    </xf>
    <xf borderId="70" fillId="3" fontId="10" numFmtId="0" xfId="0" applyAlignment="1" applyBorder="1" applyFont="1">
      <alignment textRotation="90" vertical="center"/>
    </xf>
    <xf borderId="46" fillId="8" fontId="7" numFmtId="0" xfId="0" applyAlignment="1" applyBorder="1" applyFont="1">
      <alignment horizontal="center" vertical="center"/>
    </xf>
    <xf borderId="36" fillId="8" fontId="7" numFmtId="0" xfId="0" applyAlignment="1" applyBorder="1" applyFont="1">
      <alignment horizontal="left" vertical="center"/>
    </xf>
    <xf borderId="33" fillId="8" fontId="7" numFmtId="0" xfId="0" applyAlignment="1" applyBorder="1" applyFont="1">
      <alignment horizontal="center"/>
    </xf>
    <xf borderId="71" fillId="3" fontId="10" numFmtId="0" xfId="0" applyAlignment="1" applyBorder="1" applyFont="1">
      <alignment textRotation="90" vertical="center"/>
    </xf>
    <xf borderId="72" fillId="8" fontId="7" numFmtId="0" xfId="0" applyAlignment="1" applyBorder="1" applyFont="1">
      <alignment horizontal="center" vertical="center"/>
    </xf>
    <xf borderId="73" fillId="8" fontId="7" numFmtId="0" xfId="0" applyAlignment="1" applyBorder="1" applyFont="1">
      <alignment horizontal="left" vertical="center"/>
    </xf>
    <xf borderId="74" fillId="8" fontId="7" numFmtId="0" xfId="0" applyAlignment="1" applyBorder="1" applyFont="1">
      <alignment horizontal="center"/>
    </xf>
    <xf borderId="75" fillId="3" fontId="10" numFmtId="0" xfId="0" applyAlignment="1" applyBorder="1" applyFont="1">
      <alignment textRotation="90" vertical="center"/>
    </xf>
    <xf borderId="76" fillId="0" fontId="7" numFmtId="0" xfId="0" applyAlignment="1" applyBorder="1" applyFont="1">
      <alignment horizontal="left" vertical="center"/>
    </xf>
    <xf borderId="77" fillId="3" fontId="10" numFmtId="0" xfId="0" applyAlignment="1" applyBorder="1" applyFont="1">
      <alignment textRotation="90" vertical="center"/>
    </xf>
    <xf borderId="78" fillId="0" fontId="7" numFmtId="0" xfId="0" applyAlignment="1" applyBorder="1" applyFont="1">
      <alignment horizontal="left" vertical="center"/>
    </xf>
    <xf borderId="37" fillId="8" fontId="7" numFmtId="0" xfId="0" applyAlignment="1" applyBorder="1" applyFont="1">
      <alignment horizontal="center" vertical="center"/>
    </xf>
    <xf borderId="79" fillId="8" fontId="7" numFmtId="0" xfId="0" applyAlignment="1" applyBorder="1" applyFont="1">
      <alignment horizontal="left" vertical="center"/>
    </xf>
    <xf borderId="40" fillId="8" fontId="7" numFmtId="0" xfId="0" applyAlignment="1" applyBorder="1" applyFont="1">
      <alignment horizontal="center"/>
    </xf>
    <xf borderId="40" fillId="0" fontId="7" numFmtId="0" xfId="0" applyAlignment="1" applyBorder="1" applyFont="1">
      <alignment horizontal="center"/>
    </xf>
    <xf borderId="33" fillId="0" fontId="7" numFmtId="0" xfId="0" applyAlignment="1" applyBorder="1" applyFont="1">
      <alignment horizontal="center" readingOrder="0"/>
    </xf>
    <xf borderId="29" fillId="0" fontId="5" numFmtId="0" xfId="0" applyAlignment="1" applyBorder="1" applyFont="1">
      <alignment horizontal="center"/>
    </xf>
    <xf borderId="31" fillId="8" fontId="7" numFmtId="0" xfId="0" applyAlignment="1" applyBorder="1" applyFont="1">
      <alignment horizontal="center" vertical="center"/>
    </xf>
    <xf borderId="32" fillId="8" fontId="7" numFmtId="0" xfId="0" applyAlignment="1" applyBorder="1" applyFont="1">
      <alignment horizontal="left" vertical="center"/>
    </xf>
    <xf borderId="45" fillId="8" fontId="7" numFmtId="0" xfId="0" applyAlignment="1" applyBorder="1" applyFont="1">
      <alignment horizontal="center"/>
    </xf>
    <xf borderId="50" fillId="0" fontId="7" numFmtId="0" xfId="0" applyAlignment="1" applyBorder="1" applyFont="1">
      <alignment horizontal="center" readingOrder="0"/>
    </xf>
    <xf borderId="43" fillId="8" fontId="7" numFmtId="0" xfId="0" applyAlignment="1" applyBorder="1" applyFont="1">
      <alignment horizontal="center" vertical="center"/>
    </xf>
    <xf borderId="44" fillId="8" fontId="7" numFmtId="0" xfId="0" applyAlignment="1" applyBorder="1" applyFont="1">
      <alignment horizontal="left" vertical="center"/>
    </xf>
    <xf borderId="50" fillId="8" fontId="7" numFmtId="0" xfId="0" applyAlignment="1" applyBorder="1" applyFont="1">
      <alignment horizontal="center"/>
    </xf>
    <xf borderId="47" fillId="0" fontId="7" numFmtId="0" xfId="0" applyAlignment="1" applyBorder="1" applyFont="1">
      <alignment horizontal="center" readingOrder="0"/>
    </xf>
    <xf borderId="80" fillId="0" fontId="4" numFmtId="0" xfId="0" applyBorder="1" applyFont="1"/>
    <xf borderId="38" fillId="8" fontId="7" numFmtId="0" xfId="0" applyAlignment="1" applyBorder="1" applyFont="1">
      <alignment horizontal="center" vertical="center"/>
    </xf>
    <xf borderId="39" fillId="8" fontId="7" numFmtId="0" xfId="0" applyAlignment="1" applyBorder="1" applyFont="1">
      <alignment horizontal="left" vertical="center"/>
    </xf>
    <xf borderId="47" fillId="8" fontId="7" numFmtId="0" xfId="0" applyAlignment="1" applyBorder="1" applyFont="1">
      <alignment horizontal="center"/>
    </xf>
    <xf borderId="81" fillId="8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readingOrder="0"/>
    </xf>
    <xf borderId="82" fillId="8" fontId="7" numFmtId="0" xfId="0" applyAlignment="1" applyBorder="1" applyFont="1">
      <alignment horizontal="center" shrinkToFit="0" vertical="center" wrapText="1"/>
    </xf>
    <xf borderId="83" fillId="0" fontId="7" numFmtId="0" xfId="0" applyAlignment="1" applyBorder="1" applyFont="1">
      <alignment horizontal="center" shrinkToFit="0" vertical="center" wrapText="1"/>
    </xf>
    <xf borderId="24" fillId="2" fontId="7" numFmtId="0" xfId="0" applyAlignment="1" applyBorder="1" applyFont="1">
      <alignment horizontal="center" shrinkToFit="0" vertical="center" wrapText="1"/>
    </xf>
    <xf borderId="84" fillId="0" fontId="4" numFmtId="0" xfId="0" applyBorder="1" applyFont="1"/>
    <xf borderId="34" fillId="8" fontId="7" numFmtId="0" xfId="0" applyAlignment="1" applyBorder="1" applyFont="1">
      <alignment horizontal="center"/>
    </xf>
    <xf borderId="85" fillId="0" fontId="4" numFmtId="0" xfId="0" applyBorder="1" applyFont="1"/>
    <xf borderId="30" fillId="8" fontId="7" numFmtId="0" xfId="0" applyAlignment="1" applyBorder="1" applyFont="1">
      <alignment horizontal="center" vertical="center"/>
    </xf>
    <xf borderId="63" fillId="8" fontId="7" numFmtId="0" xfId="0" applyAlignment="1" applyBorder="1" applyFont="1">
      <alignment horizontal="left" vertical="center"/>
    </xf>
    <xf borderId="34" fillId="0" fontId="7" numFmtId="0" xfId="0" applyAlignment="1" applyBorder="1" applyFont="1">
      <alignment horizontal="center"/>
    </xf>
    <xf borderId="86" fillId="0" fontId="4" numFmtId="0" xfId="0" applyBorder="1" applyFont="1"/>
    <xf borderId="87" fillId="0" fontId="4" numFmtId="0" xfId="0" applyBorder="1" applyFont="1"/>
    <xf borderId="88" fillId="0" fontId="4" numFmtId="0" xfId="0" applyBorder="1" applyFont="1"/>
    <xf borderId="89" fillId="0" fontId="4" numFmtId="0" xfId="0" applyBorder="1" applyFont="1"/>
    <xf borderId="24" fillId="2" fontId="7" numFmtId="0" xfId="0" applyAlignment="1" applyBorder="1" applyFont="1">
      <alignment horizontal="center" readingOrder="0" vertical="center"/>
    </xf>
    <xf borderId="28" fillId="8" fontId="7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center"/>
    </xf>
    <xf borderId="26" fillId="0" fontId="7" numFmtId="0" xfId="0" applyBorder="1" applyFont="1"/>
    <xf borderId="33" fillId="0" fontId="7" numFmtId="0" xfId="0" applyAlignment="1" applyBorder="1" applyFont="1">
      <alignment horizontal="center" vertical="bottom"/>
    </xf>
    <xf borderId="27" fillId="0" fontId="7" numFmtId="0" xfId="0" applyAlignment="1" applyBorder="1" applyFont="1">
      <alignment horizontal="center" vertical="bottom"/>
    </xf>
    <xf borderId="43" fillId="0" fontId="7" numFmtId="0" xfId="0" applyAlignment="1" applyBorder="1" applyFont="1">
      <alignment horizontal="center"/>
    </xf>
    <xf borderId="44" fillId="0" fontId="7" numFmtId="0" xfId="0" applyBorder="1" applyFont="1"/>
    <xf borderId="50" fillId="0" fontId="7" numFmtId="0" xfId="0" applyAlignment="1" applyBorder="1" applyFont="1">
      <alignment horizontal="center" vertical="bottom"/>
    </xf>
    <xf borderId="38" fillId="0" fontId="7" numFmtId="0" xfId="0" applyAlignment="1" applyBorder="1" applyFont="1">
      <alignment horizontal="center"/>
    </xf>
    <xf borderId="39" fillId="0" fontId="7" numFmtId="0" xfId="0" applyBorder="1" applyFont="1"/>
    <xf borderId="47" fillId="0" fontId="7" numFmtId="0" xfId="0" applyAlignment="1" applyBorder="1" applyFont="1">
      <alignment horizontal="center" vertical="bottom"/>
    </xf>
    <xf borderId="24" fillId="2" fontId="7" numFmtId="0" xfId="0" applyAlignment="1" applyBorder="1" applyFont="1">
      <alignment horizontal="center" readingOrder="0" shrinkToFit="0" vertical="center" wrapText="1"/>
    </xf>
    <xf borderId="57" fillId="8" fontId="7" numFmtId="0" xfId="0" applyAlignment="1" applyBorder="1" applyFont="1">
      <alignment horizontal="center" shrinkToFit="0" vertical="center" wrapText="1"/>
    </xf>
    <xf borderId="90" fillId="0" fontId="7" numFmtId="0" xfId="0" applyAlignment="1" applyBorder="1" applyFont="1">
      <alignment horizontal="center" vertical="center"/>
    </xf>
    <xf borderId="48" fillId="0" fontId="7" numFmtId="0" xfId="0" applyAlignment="1" applyBorder="1" applyFont="1">
      <alignment horizontal="center" readingOrder="0"/>
    </xf>
    <xf borderId="27" fillId="0" fontId="7" numFmtId="0" xfId="0" applyAlignment="1" applyBorder="1" applyFont="1">
      <alignment horizontal="center" shrinkToFit="0" vertical="center" wrapText="1"/>
    </xf>
    <xf borderId="83" fillId="0" fontId="7" numFmtId="0" xfId="0" applyAlignment="1" applyBorder="1" applyFont="1">
      <alignment horizontal="center" vertical="center"/>
    </xf>
    <xf borderId="91" fillId="0" fontId="7" numFmtId="0" xfId="0" applyAlignment="1" applyBorder="1" applyFont="1">
      <alignment horizontal="center" vertical="center"/>
    </xf>
    <xf borderId="49" fillId="0" fontId="7" numFmtId="0" xfId="0" applyAlignment="1" applyBorder="1" applyFont="1">
      <alignment horizontal="center" readingOrder="0"/>
    </xf>
    <xf borderId="33" fillId="0" fontId="7" numFmtId="0" xfId="0" applyAlignment="1" applyBorder="1" applyFont="1">
      <alignment horizontal="center" shrinkToFit="0" vertical="center" wrapText="1"/>
    </xf>
    <xf borderId="45" fillId="0" fontId="7" numFmtId="0" xfId="0" applyAlignment="1" applyBorder="1" applyFont="1">
      <alignment horizontal="center" shrinkToFit="0" vertical="center" wrapText="1"/>
    </xf>
    <xf borderId="53" fillId="3" fontId="10" numFmtId="0" xfId="0" applyAlignment="1" applyBorder="1" applyFont="1">
      <alignment textRotation="90" vertical="center"/>
    </xf>
    <xf borderId="92" fillId="0" fontId="7" numFmtId="0" xfId="0" applyAlignment="1" applyBorder="1" applyFont="1">
      <alignment horizontal="center" vertical="center"/>
    </xf>
    <xf borderId="51" fillId="0" fontId="7" numFmtId="0" xfId="0" applyAlignment="1" applyBorder="1" applyFont="1">
      <alignment horizontal="center" readingOrder="0"/>
    </xf>
    <xf borderId="50" fillId="0" fontId="7" numFmtId="0" xfId="0" applyAlignment="1" applyBorder="1" applyFont="1">
      <alignment horizontal="center" shrinkToFit="0" vertical="center" wrapText="1"/>
    </xf>
    <xf borderId="72" fillId="3" fontId="10" numFmtId="0" xfId="0" applyAlignment="1" applyBorder="1" applyFont="1">
      <alignment textRotation="90" vertical="center"/>
    </xf>
    <xf borderId="93" fillId="0" fontId="4" numFmtId="0" xfId="0" applyBorder="1" applyFont="1"/>
    <xf borderId="94" fillId="0" fontId="7" numFmtId="0" xfId="0" applyAlignment="1" applyBorder="1" applyFont="1">
      <alignment horizontal="center" vertical="center"/>
    </xf>
    <xf borderId="52" fillId="0" fontId="7" numFmtId="0" xfId="0" applyAlignment="1" applyBorder="1" applyFont="1">
      <alignment horizontal="center" readingOrder="0"/>
    </xf>
    <xf borderId="47" fillId="0" fontId="7" numFmtId="0" xfId="0" applyAlignment="1" applyBorder="1" applyFont="1">
      <alignment horizontal="center" shrinkToFit="0" vertical="center" wrapText="1"/>
    </xf>
    <xf borderId="60" fillId="8" fontId="7" numFmtId="0" xfId="0" applyAlignment="1" applyBorder="1" applyFont="1">
      <alignment horizontal="left" vertical="center"/>
    </xf>
    <xf borderId="79" fillId="0" fontId="7" numFmtId="0" xfId="0" applyAlignment="1" applyBorder="1" applyFont="1">
      <alignment horizontal="left" vertical="center"/>
    </xf>
    <xf borderId="37" fillId="0" fontId="7" numFmtId="0" xfId="0" applyAlignment="1" applyBorder="1" applyFont="1">
      <alignment horizontal="center"/>
    </xf>
    <xf borderId="79" fillId="0" fontId="7" numFmtId="0" xfId="0" applyBorder="1" applyFont="1"/>
    <xf borderId="34" fillId="0" fontId="7" numFmtId="0" xfId="0" applyAlignment="1" applyBorder="1" applyFont="1">
      <alignment horizontal="center" vertical="bottom"/>
    </xf>
    <xf borderId="95" fillId="8" fontId="7" numFmtId="0" xfId="0" applyAlignment="1" applyBorder="1" applyFont="1">
      <alignment horizontal="center"/>
    </xf>
    <xf borderId="96" fillId="0" fontId="7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/>
    </xf>
    <xf borderId="32" fillId="0" fontId="7" numFmtId="0" xfId="0" applyBorder="1" applyFont="1"/>
    <xf borderId="45" fillId="0" fontId="7" numFmtId="0" xfId="0" applyAlignment="1" applyBorder="1" applyFont="1">
      <alignment horizontal="center" vertical="bottom"/>
    </xf>
    <xf borderId="97" fillId="0" fontId="4" numFmtId="0" xfId="0" applyBorder="1" applyFont="1"/>
    <xf borderId="98" fillId="8" fontId="7" numFmtId="0" xfId="0" applyAlignment="1" applyBorder="1" applyFont="1">
      <alignment horizontal="center"/>
    </xf>
    <xf borderId="61" fillId="0" fontId="4" numFmtId="0" xfId="0" applyBorder="1" applyFont="1"/>
    <xf borderId="99" fillId="8" fontId="7" numFmtId="0" xfId="0" applyAlignment="1" applyBorder="1" applyFont="1">
      <alignment horizontal="center"/>
    </xf>
    <xf borderId="100" fillId="8" fontId="7" numFmtId="0" xfId="0" applyAlignment="1" applyBorder="1" applyFont="1">
      <alignment horizontal="center"/>
    </xf>
    <xf borderId="101" fillId="0" fontId="4" numFmtId="0" xfId="0" applyBorder="1" applyFont="1"/>
    <xf borderId="102" fillId="8" fontId="7" numFmtId="0" xfId="0" applyAlignment="1" applyBorder="1" applyFont="1">
      <alignment horizontal="center"/>
    </xf>
    <xf borderId="11" fillId="5" fontId="7" numFmtId="0" xfId="0" applyAlignment="1" applyBorder="1" applyFont="1">
      <alignment horizontal="center" vertical="center"/>
    </xf>
    <xf borderId="103" fillId="3" fontId="7" numFmtId="0" xfId="0" applyAlignment="1" applyBorder="1" applyFont="1">
      <alignment horizontal="center" vertical="center"/>
    </xf>
    <xf borderId="21" fillId="5" fontId="7" numFmtId="0" xfId="0" applyAlignment="1" applyBorder="1" applyFont="1">
      <alignment horizontal="center" vertical="center"/>
    </xf>
    <xf borderId="16" fillId="5" fontId="7" numFmtId="0" xfId="0" applyAlignment="1" applyBorder="1" applyFont="1">
      <alignment vertical="center"/>
    </xf>
    <xf borderId="16" fillId="5" fontId="7" numFmtId="0" xfId="0" applyAlignment="1" applyBorder="1" applyFont="1">
      <alignment horizontal="center" vertical="center"/>
    </xf>
    <xf borderId="11" fillId="6" fontId="11" numFmtId="0" xfId="0" applyAlignment="1" applyBorder="1" applyFont="1">
      <alignment horizontal="center" shrinkToFit="0" vertical="center" wrapText="1"/>
    </xf>
    <xf borderId="6" fillId="6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 vertical="center"/>
    </xf>
    <xf borderId="16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16" fillId="3" fontId="7" numFmtId="0" xfId="0" applyBorder="1" applyFont="1"/>
    <xf borderId="104" fillId="3" fontId="7" numFmtId="0" xfId="0" applyAlignment="1" applyBorder="1" applyFont="1">
      <alignment horizontal="center"/>
    </xf>
    <xf borderId="22" fillId="5" fontId="7" numFmtId="0" xfId="0" applyAlignment="1" applyBorder="1" applyFont="1">
      <alignment horizontal="right" vertical="center"/>
    </xf>
    <xf borderId="16" fillId="5" fontId="7" numFmtId="1" xfId="0" applyAlignment="1" applyBorder="1" applyFont="1" applyNumberFormat="1">
      <alignment horizontal="center" vertical="center"/>
    </xf>
    <xf borderId="105" fillId="5" fontId="10" numFmtId="1" xfId="0" applyAlignment="1" applyBorder="1" applyFont="1" applyNumberFormat="1">
      <alignment horizontal="center" vertical="center"/>
    </xf>
    <xf borderId="45" fillId="0" fontId="14" numFmtId="0" xfId="0" applyAlignment="1" applyBorder="1" applyFont="1">
      <alignment horizontal="center"/>
    </xf>
    <xf borderId="49" fillId="0" fontId="7" numFmtId="0" xfId="0" applyAlignment="1" applyBorder="1" applyFont="1">
      <alignment horizontal="center" vertical="center"/>
    </xf>
    <xf borderId="106" fillId="0" fontId="4" numFmtId="0" xfId="0" applyBorder="1" applyFont="1"/>
    <xf borderId="59" fillId="0" fontId="4" numFmtId="0" xfId="0" applyBorder="1" applyFont="1"/>
    <xf borderId="45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 fitToPage="1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20.5"/>
    <col customWidth="1" min="3" max="3" width="3.38"/>
    <col customWidth="1" min="4" max="4" width="7.63"/>
    <col customWidth="1" min="5" max="5" width="37.88"/>
    <col customWidth="1" min="6" max="6" width="4.75"/>
    <col customWidth="1" min="7" max="7" width="4.88"/>
    <col customWidth="1" min="8" max="8" width="6.63"/>
    <col customWidth="1" min="9" max="9" width="40.75"/>
    <col customWidth="1" min="10" max="11" width="4.75"/>
    <col customWidth="1" min="12" max="12" width="6.75"/>
    <col customWidth="1" min="13" max="13" width="40.5"/>
    <col customWidth="1" min="14" max="15" width="4.75"/>
    <col customWidth="1" min="16" max="16" width="7.5"/>
    <col customWidth="1" min="17" max="26" width="7.63"/>
  </cols>
  <sheetData>
    <row r="1">
      <c r="A1" s="1"/>
      <c r="B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5"/>
      <c r="E2" s="6"/>
      <c r="F2" s="1"/>
      <c r="G2" s="1"/>
      <c r="H2" s="1"/>
      <c r="I2" s="7"/>
      <c r="J2" s="7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/>
      <c r="B3" s="3" t="s">
        <v>2</v>
      </c>
      <c r="C3" s="4"/>
      <c r="D3" s="5"/>
      <c r="E3" s="6"/>
      <c r="F3" s="8"/>
      <c r="G3" s="8"/>
      <c r="H3" s="9"/>
      <c r="I3" s="7"/>
      <c r="J3" s="7"/>
      <c r="K3" s="7"/>
      <c r="L3" s="9"/>
      <c r="M3" s="8"/>
      <c r="N3" s="8"/>
      <c r="O3" s="8"/>
      <c r="P3" s="8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10"/>
      <c r="C4" s="11"/>
      <c r="D4" s="9"/>
      <c r="E4" s="7"/>
      <c r="F4" s="8"/>
      <c r="G4" s="8"/>
      <c r="H4" s="9"/>
      <c r="I4" s="12"/>
      <c r="J4" s="12"/>
      <c r="K4" s="12"/>
      <c r="L4" s="9"/>
      <c r="M4" s="8"/>
      <c r="N4" s="8"/>
      <c r="O4" s="8"/>
      <c r="P4" s="8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13"/>
      <c r="C5" s="14"/>
      <c r="D5" s="15" t="s">
        <v>3</v>
      </c>
      <c r="E5" s="16"/>
      <c r="F5" s="16"/>
      <c r="G5" s="17"/>
      <c r="H5" s="18" t="s">
        <v>4</v>
      </c>
      <c r="I5" s="16"/>
      <c r="J5" s="16"/>
      <c r="K5" s="17"/>
      <c r="L5" s="18" t="s">
        <v>5</v>
      </c>
      <c r="M5" s="16"/>
      <c r="N5" s="16"/>
      <c r="O5" s="19"/>
      <c r="P5" s="20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21" t="s">
        <v>6</v>
      </c>
      <c r="C6" s="22"/>
      <c r="D6" s="21" t="s">
        <v>7</v>
      </c>
      <c r="E6" s="23" t="s">
        <v>8</v>
      </c>
      <c r="F6" s="24" t="s">
        <v>9</v>
      </c>
      <c r="G6" s="25" t="s">
        <v>10</v>
      </c>
      <c r="H6" s="26" t="s">
        <v>7</v>
      </c>
      <c r="I6" s="23" t="s">
        <v>8</v>
      </c>
      <c r="J6" s="24" t="s">
        <v>9</v>
      </c>
      <c r="K6" s="25" t="s">
        <v>10</v>
      </c>
      <c r="L6" s="27" t="s">
        <v>7</v>
      </c>
      <c r="M6" s="23" t="s">
        <v>8</v>
      </c>
      <c r="N6" s="24" t="s">
        <v>9</v>
      </c>
      <c r="O6" s="28" t="s">
        <v>10</v>
      </c>
      <c r="P6" s="27" t="s">
        <v>10</v>
      </c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29" t="s">
        <v>11</v>
      </c>
      <c r="C7" s="30"/>
      <c r="D7" s="31"/>
      <c r="E7" s="32" t="s">
        <v>12</v>
      </c>
      <c r="F7" s="19"/>
      <c r="G7" s="33">
        <f>SUM(G8:G27)</f>
        <v>398</v>
      </c>
      <c r="H7" s="34"/>
      <c r="I7" s="32" t="s">
        <v>12</v>
      </c>
      <c r="J7" s="19"/>
      <c r="K7" s="33">
        <f>SUM(K8:K27)</f>
        <v>293</v>
      </c>
      <c r="L7" s="34"/>
      <c r="M7" s="32" t="s">
        <v>12</v>
      </c>
      <c r="N7" s="19"/>
      <c r="O7" s="33">
        <f>SUM(O8:O27)</f>
        <v>309</v>
      </c>
      <c r="P7" s="35">
        <f>SUM(K7,G7,O7)</f>
        <v>1000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36" t="s">
        <v>13</v>
      </c>
      <c r="C8" s="37"/>
      <c r="D8" s="38">
        <v>1.0</v>
      </c>
      <c r="E8" s="39" t="s">
        <v>14</v>
      </c>
      <c r="F8" s="40">
        <v>33.0</v>
      </c>
      <c r="G8" s="41">
        <f>SUM(F8:F11)</f>
        <v>100</v>
      </c>
      <c r="H8" s="38">
        <v>4.0</v>
      </c>
      <c r="I8" s="39" t="s">
        <v>15</v>
      </c>
      <c r="J8" s="40">
        <v>33.0</v>
      </c>
      <c r="K8" s="42">
        <f>SUM(J8:J11)</f>
        <v>100</v>
      </c>
      <c r="L8" s="38">
        <v>7.0</v>
      </c>
      <c r="M8" s="39" t="s">
        <v>16</v>
      </c>
      <c r="N8" s="40">
        <v>40.0</v>
      </c>
      <c r="O8" s="41">
        <f>SUM(N8:N11)</f>
        <v>120</v>
      </c>
      <c r="P8" s="36">
        <f>SUM(G8,K8,O8)</f>
        <v>320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43"/>
      <c r="C9" s="37"/>
      <c r="D9" s="44">
        <v>2.0</v>
      </c>
      <c r="E9" s="45" t="s">
        <v>17</v>
      </c>
      <c r="F9" s="46">
        <v>34.0</v>
      </c>
      <c r="G9" s="47"/>
      <c r="H9" s="44">
        <v>5.0</v>
      </c>
      <c r="I9" s="45" t="s">
        <v>18</v>
      </c>
      <c r="J9" s="46">
        <v>34.0</v>
      </c>
      <c r="K9" s="48"/>
      <c r="L9" s="44">
        <v>8.0</v>
      </c>
      <c r="M9" s="49" t="s">
        <v>19</v>
      </c>
      <c r="N9" s="46">
        <v>40.0</v>
      </c>
      <c r="O9" s="47"/>
      <c r="P9" s="43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43"/>
      <c r="C10" s="37"/>
      <c r="D10" s="44">
        <v>3.0</v>
      </c>
      <c r="E10" s="45" t="s">
        <v>20</v>
      </c>
      <c r="F10" s="46">
        <v>33.0</v>
      </c>
      <c r="G10" s="47"/>
      <c r="H10" s="44">
        <v>6.0</v>
      </c>
      <c r="I10" s="45" t="s">
        <v>21</v>
      </c>
      <c r="J10" s="46">
        <v>33.0</v>
      </c>
      <c r="K10" s="48"/>
      <c r="L10" s="44">
        <v>9.0</v>
      </c>
      <c r="M10" s="49" t="s">
        <v>22</v>
      </c>
      <c r="N10" s="46">
        <v>40.0</v>
      </c>
      <c r="O10" s="47"/>
      <c r="P10" s="43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50"/>
      <c r="C11" s="37"/>
      <c r="D11" s="51"/>
      <c r="E11" s="52"/>
      <c r="F11" s="53"/>
      <c r="G11" s="54"/>
      <c r="H11" s="51"/>
      <c r="I11" s="52"/>
      <c r="J11" s="53"/>
      <c r="K11" s="55"/>
      <c r="L11" s="51"/>
      <c r="M11" s="52"/>
      <c r="N11" s="53"/>
      <c r="O11" s="54"/>
      <c r="P11" s="50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36" t="s">
        <v>23</v>
      </c>
      <c r="C12" s="37"/>
      <c r="D12" s="38">
        <v>1.0</v>
      </c>
      <c r="E12" s="39" t="s">
        <v>24</v>
      </c>
      <c r="F12" s="40">
        <v>28.0</v>
      </c>
      <c r="G12" s="41">
        <f>SUM(F12:F14)</f>
        <v>76</v>
      </c>
      <c r="H12" s="38">
        <v>4.0</v>
      </c>
      <c r="I12" s="49" t="s">
        <v>25</v>
      </c>
      <c r="J12" s="40">
        <v>24.0</v>
      </c>
      <c r="K12" s="42">
        <f>SUM(J12:J14)</f>
        <v>72</v>
      </c>
      <c r="L12" s="38">
        <v>7.0</v>
      </c>
      <c r="M12" s="49" t="s">
        <v>26</v>
      </c>
      <c r="N12" s="40">
        <v>24.0</v>
      </c>
      <c r="O12" s="41">
        <f>SUM(N12:N14)</f>
        <v>72</v>
      </c>
      <c r="P12" s="36">
        <f>SUM(G12,K12,O12)</f>
        <v>220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43"/>
      <c r="C13" s="37"/>
      <c r="D13" s="44">
        <v>2.0</v>
      </c>
      <c r="E13" s="45" t="s">
        <v>27</v>
      </c>
      <c r="F13" s="46">
        <v>24.0</v>
      </c>
      <c r="G13" s="47"/>
      <c r="H13" s="44">
        <v>5.0</v>
      </c>
      <c r="I13" s="45" t="s">
        <v>28</v>
      </c>
      <c r="J13" s="46">
        <v>24.0</v>
      </c>
      <c r="K13" s="48"/>
      <c r="L13" s="44">
        <v>8.0</v>
      </c>
      <c r="M13" s="49" t="s">
        <v>29</v>
      </c>
      <c r="N13" s="46">
        <v>24.0</v>
      </c>
      <c r="O13" s="47"/>
      <c r="P13" s="43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56"/>
      <c r="C14" s="37"/>
      <c r="D14" s="57">
        <v>3.0</v>
      </c>
      <c r="E14" s="58" t="s">
        <v>30</v>
      </c>
      <c r="F14" s="59">
        <v>24.0</v>
      </c>
      <c r="G14" s="47"/>
      <c r="H14" s="57">
        <v>6.0</v>
      </c>
      <c r="I14" s="52" t="s">
        <v>31</v>
      </c>
      <c r="J14" s="59">
        <v>24.0</v>
      </c>
      <c r="K14" s="48"/>
      <c r="L14" s="51">
        <v>9.0</v>
      </c>
      <c r="M14" s="52" t="s">
        <v>32</v>
      </c>
      <c r="N14" s="60">
        <v>24.0</v>
      </c>
      <c r="O14" s="47"/>
      <c r="P14" s="56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36" t="s">
        <v>33</v>
      </c>
      <c r="C15" s="37"/>
      <c r="D15" s="38">
        <v>1.0</v>
      </c>
      <c r="E15" s="61" t="s">
        <v>34</v>
      </c>
      <c r="F15" s="40">
        <v>36.0</v>
      </c>
      <c r="G15" s="41">
        <f>SUM(F15:F16)</f>
        <v>72</v>
      </c>
      <c r="H15" s="38">
        <v>3.0</v>
      </c>
      <c r="I15" s="49" t="s">
        <v>35</v>
      </c>
      <c r="J15" s="40">
        <v>38.0</v>
      </c>
      <c r="K15" s="42">
        <f>SUM(J15:J16)</f>
        <v>76</v>
      </c>
      <c r="L15" s="62">
        <v>5.0</v>
      </c>
      <c r="M15" s="49" t="s">
        <v>36</v>
      </c>
      <c r="N15" s="40">
        <v>36.0</v>
      </c>
      <c r="O15" s="41">
        <f>SUM(N15:N16)</f>
        <v>72</v>
      </c>
      <c r="P15" s="36">
        <f>SUM(G15,K15,O15)</f>
        <v>220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50"/>
      <c r="C16" s="37"/>
      <c r="D16" s="51">
        <v>2.0</v>
      </c>
      <c r="E16" s="63" t="s">
        <v>37</v>
      </c>
      <c r="F16" s="64">
        <v>36.0</v>
      </c>
      <c r="G16" s="54"/>
      <c r="H16" s="51">
        <v>4.0</v>
      </c>
      <c r="I16" s="52" t="s">
        <v>38</v>
      </c>
      <c r="J16" s="64">
        <v>38.0</v>
      </c>
      <c r="K16" s="55"/>
      <c r="L16" s="51">
        <v>6.0</v>
      </c>
      <c r="M16" s="52" t="s">
        <v>39</v>
      </c>
      <c r="N16" s="64">
        <v>36.0</v>
      </c>
      <c r="O16" s="54"/>
      <c r="P16" s="50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36" t="s">
        <v>40</v>
      </c>
      <c r="C17" s="37"/>
      <c r="D17" s="38">
        <v>1.0</v>
      </c>
      <c r="E17" s="39" t="s">
        <v>41</v>
      </c>
      <c r="F17" s="40">
        <v>10.0</v>
      </c>
      <c r="G17" s="41">
        <f>SUM(F17:F23)</f>
        <v>50</v>
      </c>
      <c r="H17" s="38">
        <v>5.0</v>
      </c>
      <c r="I17" s="49" t="s">
        <v>42</v>
      </c>
      <c r="J17" s="65">
        <v>4.0</v>
      </c>
      <c r="K17" s="42">
        <f>SUM(J17:J23)</f>
        <v>45</v>
      </c>
      <c r="L17" s="38">
        <v>5.0</v>
      </c>
      <c r="M17" s="49" t="s">
        <v>42</v>
      </c>
      <c r="N17" s="66">
        <v>4.0</v>
      </c>
      <c r="O17" s="67">
        <f>SUM(N17:N23)</f>
        <v>45</v>
      </c>
      <c r="P17" s="36">
        <f>SUM(G17+K17+O17)</f>
        <v>140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43"/>
      <c r="C18" s="37"/>
      <c r="D18" s="44">
        <v>2.0</v>
      </c>
      <c r="E18" s="45" t="s">
        <v>43</v>
      </c>
      <c r="F18" s="59">
        <v>12.0</v>
      </c>
      <c r="G18" s="47"/>
      <c r="H18" s="44">
        <v>7.0</v>
      </c>
      <c r="I18" s="45" t="s">
        <v>44</v>
      </c>
      <c r="J18" s="68">
        <v>10.0</v>
      </c>
      <c r="K18" s="48"/>
      <c r="L18" s="44">
        <v>12.0</v>
      </c>
      <c r="M18" s="49" t="s">
        <v>45</v>
      </c>
      <c r="N18" s="69">
        <v>12.0</v>
      </c>
      <c r="O18" s="48"/>
      <c r="P18" s="43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43"/>
      <c r="C19" s="37"/>
      <c r="D19" s="57">
        <v>3.0</v>
      </c>
      <c r="E19" s="58" t="s">
        <v>46</v>
      </c>
      <c r="F19" s="70">
        <v>6.0</v>
      </c>
      <c r="G19" s="47"/>
      <c r="H19" s="57">
        <v>8.0</v>
      </c>
      <c r="I19" s="58" t="s">
        <v>47</v>
      </c>
      <c r="J19" s="71">
        <v>12.0</v>
      </c>
      <c r="K19" s="48"/>
      <c r="L19" s="57">
        <v>13.0</v>
      </c>
      <c r="M19" s="45" t="s">
        <v>48</v>
      </c>
      <c r="N19" s="72">
        <v>13.0</v>
      </c>
      <c r="O19" s="48"/>
      <c r="P19" s="43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43"/>
      <c r="C20" s="37"/>
      <c r="D20" s="57">
        <v>4.0</v>
      </c>
      <c r="E20" s="58" t="s">
        <v>49</v>
      </c>
      <c r="F20" s="70">
        <v>10.0</v>
      </c>
      <c r="G20" s="47"/>
      <c r="H20" s="57">
        <v>9.0</v>
      </c>
      <c r="I20" s="58" t="s">
        <v>50</v>
      </c>
      <c r="J20" s="71">
        <v>5.0</v>
      </c>
      <c r="K20" s="48"/>
      <c r="L20" s="57">
        <v>14.0</v>
      </c>
      <c r="M20" s="45" t="s">
        <v>51</v>
      </c>
      <c r="N20" s="72">
        <v>6.0</v>
      </c>
      <c r="O20" s="48"/>
      <c r="P20" s="43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43"/>
      <c r="C21" s="37"/>
      <c r="D21" s="57">
        <v>5.0</v>
      </c>
      <c r="E21" s="73" t="s">
        <v>42</v>
      </c>
      <c r="F21" s="70">
        <v>6.0</v>
      </c>
      <c r="G21" s="47"/>
      <c r="H21" s="57">
        <v>10.0</v>
      </c>
      <c r="I21" s="73" t="s">
        <v>52</v>
      </c>
      <c r="J21" s="74">
        <v>10.0</v>
      </c>
      <c r="K21" s="48"/>
      <c r="L21" s="57">
        <v>15.0</v>
      </c>
      <c r="M21" s="73" t="s">
        <v>53</v>
      </c>
      <c r="N21" s="70">
        <v>6.0</v>
      </c>
      <c r="O21" s="48"/>
      <c r="P21" s="43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43"/>
      <c r="C22" s="37"/>
      <c r="D22" s="44">
        <v>6.0</v>
      </c>
      <c r="E22" s="58" t="s">
        <v>54</v>
      </c>
      <c r="F22" s="70">
        <v>6.0</v>
      </c>
      <c r="G22" s="47"/>
      <c r="H22" s="57">
        <v>11.0</v>
      </c>
      <c r="I22" s="58" t="s">
        <v>55</v>
      </c>
      <c r="J22" s="71">
        <v>4.0</v>
      </c>
      <c r="K22" s="48"/>
      <c r="L22" s="57">
        <v>16.0</v>
      </c>
      <c r="M22" s="58" t="s">
        <v>56</v>
      </c>
      <c r="N22" s="72">
        <v>4.0</v>
      </c>
      <c r="O22" s="48"/>
      <c r="P22" s="43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50"/>
      <c r="C23" s="37"/>
      <c r="D23" s="75"/>
      <c r="E23" s="52"/>
      <c r="F23" s="64"/>
      <c r="G23" s="54"/>
      <c r="H23" s="51"/>
      <c r="I23" s="52"/>
      <c r="J23" s="76"/>
      <c r="K23" s="55"/>
      <c r="L23" s="51"/>
      <c r="M23" s="52"/>
      <c r="N23" s="77"/>
      <c r="O23" s="55"/>
      <c r="P23" s="50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8" t="s">
        <v>57</v>
      </c>
      <c r="C24" s="37"/>
      <c r="D24" s="38">
        <v>1.0</v>
      </c>
      <c r="E24" s="79" t="s">
        <v>58</v>
      </c>
      <c r="F24" s="80">
        <v>33.0</v>
      </c>
      <c r="G24" s="41">
        <f>SUM(F24:F27)</f>
        <v>100</v>
      </c>
      <c r="H24" s="38"/>
      <c r="I24" s="39"/>
      <c r="J24" s="40"/>
      <c r="K24" s="41">
        <f>SUM(J24:J27)</f>
        <v>0</v>
      </c>
      <c r="L24" s="38"/>
      <c r="M24" s="39"/>
      <c r="N24" s="40"/>
      <c r="O24" s="41">
        <f>SUM(N24:N27)</f>
        <v>0</v>
      </c>
      <c r="P24" s="36">
        <f>SUM(G24,K24,O24)</f>
        <v>100</v>
      </c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43"/>
      <c r="C25" s="37"/>
      <c r="D25" s="44">
        <v>2.0</v>
      </c>
      <c r="E25" s="81" t="s">
        <v>59</v>
      </c>
      <c r="F25" s="82">
        <v>33.0</v>
      </c>
      <c r="G25" s="47"/>
      <c r="H25" s="44"/>
      <c r="I25" s="45"/>
      <c r="J25" s="59"/>
      <c r="K25" s="47"/>
      <c r="L25" s="44"/>
      <c r="M25" s="45"/>
      <c r="N25" s="59"/>
      <c r="O25" s="47"/>
      <c r="P25" s="43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43"/>
      <c r="C26" s="37"/>
      <c r="D26" s="83">
        <v>3.0</v>
      </c>
      <c r="E26" s="45" t="s">
        <v>60</v>
      </c>
      <c r="F26" s="82">
        <v>34.0</v>
      </c>
      <c r="G26" s="47"/>
      <c r="H26" s="44"/>
      <c r="I26" s="45"/>
      <c r="J26" s="59"/>
      <c r="K26" s="47"/>
      <c r="L26" s="44"/>
      <c r="M26" s="45"/>
      <c r="N26" s="59"/>
      <c r="O26" s="47"/>
      <c r="P26" s="43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56"/>
      <c r="C27" s="37"/>
      <c r="D27" s="83"/>
      <c r="E27" s="45"/>
      <c r="F27" s="82"/>
      <c r="G27" s="47"/>
      <c r="H27" s="44"/>
      <c r="I27" s="45"/>
      <c r="J27" s="59"/>
      <c r="K27" s="47"/>
      <c r="L27" s="44"/>
      <c r="M27" s="45"/>
      <c r="N27" s="59"/>
      <c r="O27" s="47"/>
      <c r="P27" s="56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29" t="s">
        <v>61</v>
      </c>
      <c r="C28" s="30"/>
      <c r="D28" s="31"/>
      <c r="E28" s="32" t="s">
        <v>12</v>
      </c>
      <c r="F28" s="19"/>
      <c r="G28" s="33">
        <f>SUM(G29:G41)</f>
        <v>202</v>
      </c>
      <c r="H28" s="34"/>
      <c r="I28" s="32" t="s">
        <v>12</v>
      </c>
      <c r="J28" s="19"/>
      <c r="K28" s="33">
        <f>SUM(K29:K41)</f>
        <v>198</v>
      </c>
      <c r="L28" s="34"/>
      <c r="M28" s="32" t="s">
        <v>12</v>
      </c>
      <c r="N28" s="19"/>
      <c r="O28" s="33">
        <f>SUM(O29:O41)</f>
        <v>100</v>
      </c>
      <c r="P28" s="35">
        <f>SUM(K28,G28,O28)</f>
        <v>500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36" t="s">
        <v>62</v>
      </c>
      <c r="C29" s="84" t="s">
        <v>63</v>
      </c>
      <c r="D29" s="85" t="s">
        <v>64</v>
      </c>
      <c r="E29" s="86" t="s">
        <v>65</v>
      </c>
      <c r="F29" s="87">
        <v>25.0</v>
      </c>
      <c r="G29" s="88">
        <v>100.0</v>
      </c>
      <c r="H29" s="87" t="s">
        <v>66</v>
      </c>
      <c r="I29" s="86" t="s">
        <v>67</v>
      </c>
      <c r="J29" s="87">
        <v>25.0</v>
      </c>
      <c r="K29" s="88">
        <v>100.0</v>
      </c>
      <c r="L29" s="87" t="s">
        <v>68</v>
      </c>
      <c r="M29" s="86" t="s">
        <v>69</v>
      </c>
      <c r="N29" s="87">
        <v>25.0</v>
      </c>
      <c r="O29" s="41">
        <f>SUM(N29:N32)</f>
        <v>100</v>
      </c>
      <c r="P29" s="36">
        <f>SUM(G29,K29,O29)</f>
        <v>300</v>
      </c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43"/>
      <c r="C30" s="43"/>
      <c r="D30" s="89" t="s">
        <v>70</v>
      </c>
      <c r="E30" s="90" t="s">
        <v>71</v>
      </c>
      <c r="F30" s="91">
        <v>25.0</v>
      </c>
      <c r="G30" s="43"/>
      <c r="H30" s="91" t="s">
        <v>72</v>
      </c>
      <c r="I30" s="90" t="s">
        <v>73</v>
      </c>
      <c r="J30" s="91">
        <v>25.0</v>
      </c>
      <c r="K30" s="43"/>
      <c r="L30" s="91" t="s">
        <v>74</v>
      </c>
      <c r="M30" s="90" t="s">
        <v>75</v>
      </c>
      <c r="N30" s="91">
        <v>25.0</v>
      </c>
      <c r="O30" s="47"/>
      <c r="P30" s="43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43"/>
      <c r="C31" s="43"/>
      <c r="D31" s="89" t="s">
        <v>76</v>
      </c>
      <c r="E31" s="90" t="s">
        <v>77</v>
      </c>
      <c r="F31" s="91">
        <v>25.0</v>
      </c>
      <c r="G31" s="43"/>
      <c r="H31" s="91" t="s">
        <v>78</v>
      </c>
      <c r="I31" s="90" t="s">
        <v>79</v>
      </c>
      <c r="J31" s="91">
        <v>25.0</v>
      </c>
      <c r="K31" s="43"/>
      <c r="L31" s="91" t="s">
        <v>80</v>
      </c>
      <c r="M31" s="90" t="s">
        <v>81</v>
      </c>
      <c r="N31" s="91">
        <v>25.0</v>
      </c>
      <c r="O31" s="47"/>
      <c r="P31" s="43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50"/>
      <c r="C32" s="43"/>
      <c r="D32" s="92" t="s">
        <v>82</v>
      </c>
      <c r="E32" s="93" t="s">
        <v>83</v>
      </c>
      <c r="F32" s="94">
        <v>25.0</v>
      </c>
      <c r="G32" s="50"/>
      <c r="H32" s="94" t="s">
        <v>84</v>
      </c>
      <c r="I32" s="93" t="s">
        <v>85</v>
      </c>
      <c r="J32" s="94">
        <v>25.0</v>
      </c>
      <c r="K32" s="50"/>
      <c r="L32" s="94" t="s">
        <v>86</v>
      </c>
      <c r="M32" s="93" t="s">
        <v>87</v>
      </c>
      <c r="N32" s="94">
        <v>25.0</v>
      </c>
      <c r="O32" s="54"/>
      <c r="P32" s="50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36" t="s">
        <v>88</v>
      </c>
      <c r="C33" s="43"/>
      <c r="D33" s="38">
        <v>1.0</v>
      </c>
      <c r="E33" s="39" t="s">
        <v>89</v>
      </c>
      <c r="F33" s="40">
        <v>18.0</v>
      </c>
      <c r="G33" s="95">
        <f>SUM(F33:F37)</f>
        <v>102</v>
      </c>
      <c r="H33" s="38">
        <v>5.0</v>
      </c>
      <c r="I33" s="39" t="s">
        <v>90</v>
      </c>
      <c r="J33" s="46">
        <v>32.0</v>
      </c>
      <c r="K33" s="96">
        <f>SUM(J33:J37)</f>
        <v>98</v>
      </c>
      <c r="L33" s="62"/>
      <c r="M33" s="49"/>
      <c r="N33" s="66"/>
      <c r="O33" s="41">
        <f>SUM(N33:N37)</f>
        <v>0</v>
      </c>
      <c r="P33" s="36">
        <f>SUM(G33,K33,O33)</f>
        <v>200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43"/>
      <c r="C34" s="43"/>
      <c r="D34" s="44">
        <v>2.0</v>
      </c>
      <c r="E34" s="45" t="s">
        <v>91</v>
      </c>
      <c r="F34" s="59">
        <v>18.0</v>
      </c>
      <c r="G34" s="97"/>
      <c r="H34" s="62">
        <v>4.0</v>
      </c>
      <c r="I34" s="49" t="s">
        <v>92</v>
      </c>
      <c r="J34" s="46">
        <v>30.0</v>
      </c>
      <c r="K34" s="47"/>
      <c r="L34" s="62"/>
      <c r="M34" s="49"/>
      <c r="N34" s="98"/>
      <c r="O34" s="47"/>
      <c r="P34" s="43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43"/>
      <c r="C35" s="43"/>
      <c r="D35" s="44">
        <v>3.0</v>
      </c>
      <c r="E35" s="99" t="s">
        <v>93</v>
      </c>
      <c r="F35" s="59">
        <v>30.0</v>
      </c>
      <c r="G35" s="97"/>
      <c r="H35" s="44">
        <v>8.0</v>
      </c>
      <c r="I35" s="45" t="s">
        <v>94</v>
      </c>
      <c r="J35" s="59">
        <v>18.0</v>
      </c>
      <c r="K35" s="47"/>
      <c r="L35" s="44"/>
      <c r="M35" s="49"/>
      <c r="N35" s="69"/>
      <c r="O35" s="47"/>
      <c r="P35" s="43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43"/>
      <c r="C36" s="43"/>
      <c r="D36" s="62">
        <v>4.0</v>
      </c>
      <c r="E36" s="100" t="s">
        <v>95</v>
      </c>
      <c r="F36" s="46">
        <v>18.0</v>
      </c>
      <c r="G36" s="97"/>
      <c r="H36" s="44">
        <v>9.0</v>
      </c>
      <c r="I36" s="45" t="s">
        <v>96</v>
      </c>
      <c r="J36" s="59">
        <v>18.0</v>
      </c>
      <c r="K36" s="47"/>
      <c r="L36" s="44"/>
      <c r="M36" s="49"/>
      <c r="N36" s="69"/>
      <c r="O36" s="47"/>
      <c r="P36" s="43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50"/>
      <c r="C37" s="43"/>
      <c r="D37" s="75">
        <v>5.0</v>
      </c>
      <c r="E37" s="101" t="s">
        <v>97</v>
      </c>
      <c r="F37" s="53">
        <v>18.0</v>
      </c>
      <c r="G37" s="102"/>
      <c r="H37" s="51"/>
      <c r="I37" s="52"/>
      <c r="J37" s="64"/>
      <c r="K37" s="54"/>
      <c r="L37" s="51"/>
      <c r="M37" s="52"/>
      <c r="N37" s="72"/>
      <c r="O37" s="54"/>
      <c r="P37" s="50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36" t="s">
        <v>98</v>
      </c>
      <c r="C38" s="43"/>
      <c r="D38" s="62"/>
      <c r="E38" s="103"/>
      <c r="F38" s="60"/>
      <c r="G38" s="95">
        <f>SUM(F38:F41)</f>
        <v>0</v>
      </c>
      <c r="H38" s="104"/>
      <c r="I38" s="49"/>
      <c r="J38" s="60"/>
      <c r="K38" s="96">
        <f>SUM(J38:J41)</f>
        <v>0</v>
      </c>
      <c r="L38" s="104"/>
      <c r="M38" s="49"/>
      <c r="N38" s="66"/>
      <c r="O38" s="41">
        <f>SUM(N38:N41)</f>
        <v>0</v>
      </c>
      <c r="P38" s="36">
        <f>SUM(G38,K38,O38)</f>
        <v>0</v>
      </c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43"/>
      <c r="C39" s="43"/>
      <c r="D39" s="57"/>
      <c r="E39" s="58"/>
      <c r="F39" s="70"/>
      <c r="G39" s="97"/>
      <c r="H39" s="57"/>
      <c r="I39" s="45"/>
      <c r="J39" s="70"/>
      <c r="K39" s="47"/>
      <c r="L39" s="57"/>
      <c r="M39" s="49"/>
      <c r="N39" s="72"/>
      <c r="O39" s="47"/>
      <c r="P39" s="43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43"/>
      <c r="C40" s="43"/>
      <c r="D40" s="57"/>
      <c r="E40" s="58"/>
      <c r="F40" s="70"/>
      <c r="G40" s="97"/>
      <c r="H40" s="57"/>
      <c r="I40" s="45"/>
      <c r="J40" s="70"/>
      <c r="K40" s="47"/>
      <c r="L40" s="57"/>
      <c r="M40" s="49"/>
      <c r="N40" s="72"/>
      <c r="O40" s="47"/>
      <c r="P40" s="43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50"/>
      <c r="C41" s="56"/>
      <c r="D41" s="51"/>
      <c r="E41" s="52"/>
      <c r="F41" s="70"/>
      <c r="G41" s="102"/>
      <c r="H41" s="51"/>
      <c r="I41" s="45"/>
      <c r="J41" s="70"/>
      <c r="K41" s="54"/>
      <c r="L41" s="51"/>
      <c r="M41" s="49"/>
      <c r="N41" s="77"/>
      <c r="O41" s="54"/>
      <c r="P41" s="50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29" t="s">
        <v>99</v>
      </c>
      <c r="C42" s="37"/>
      <c r="D42" s="105"/>
      <c r="E42" s="106" t="s">
        <v>12</v>
      </c>
      <c r="F42" s="107"/>
      <c r="G42" s="33">
        <f>SUM(G43:G73)</f>
        <v>525</v>
      </c>
      <c r="H42" s="33"/>
      <c r="I42" s="108" t="s">
        <v>12</v>
      </c>
      <c r="J42" s="109"/>
      <c r="K42" s="33">
        <f>SUM(K43:K73)</f>
        <v>325</v>
      </c>
      <c r="L42" s="33"/>
      <c r="M42" s="108" t="s">
        <v>12</v>
      </c>
      <c r="N42" s="109"/>
      <c r="O42" s="33">
        <f>SUM(O43:O73)</f>
        <v>250</v>
      </c>
      <c r="P42" s="110">
        <f>SUM(K42,G42,O42)</f>
        <v>1100</v>
      </c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111" t="s">
        <v>100</v>
      </c>
      <c r="C43" s="112"/>
      <c r="D43" s="38" t="s">
        <v>101</v>
      </c>
      <c r="E43" s="99" t="s">
        <v>102</v>
      </c>
      <c r="F43" s="113">
        <v>50.0</v>
      </c>
      <c r="G43" s="114">
        <f>SUM(F43:F50)</f>
        <v>250</v>
      </c>
      <c r="H43" s="115"/>
      <c r="I43" s="116"/>
      <c r="J43" s="117"/>
      <c r="K43" s="114">
        <v>0.0</v>
      </c>
      <c r="L43" s="115"/>
      <c r="M43" s="116"/>
      <c r="N43" s="66"/>
      <c r="O43" s="42">
        <f>SUM(N43:N54)</f>
        <v>0</v>
      </c>
      <c r="P43" s="36">
        <f>SUM(G43,K43,O43)</f>
        <v>250</v>
      </c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43"/>
      <c r="C44" s="118"/>
      <c r="D44" s="44" t="s">
        <v>103</v>
      </c>
      <c r="E44" s="99" t="s">
        <v>104</v>
      </c>
      <c r="F44" s="113">
        <v>50.0</v>
      </c>
      <c r="G44" s="48"/>
      <c r="H44" s="119"/>
      <c r="I44" s="120"/>
      <c r="J44" s="121"/>
      <c r="K44" s="48"/>
      <c r="L44" s="119"/>
      <c r="M44" s="120"/>
      <c r="N44" s="98"/>
      <c r="O44" s="48"/>
      <c r="P44" s="43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43"/>
      <c r="C45" s="118"/>
      <c r="D45" s="44" t="s">
        <v>105</v>
      </c>
      <c r="E45" s="99" t="s">
        <v>106</v>
      </c>
      <c r="F45" s="69">
        <v>25.0</v>
      </c>
      <c r="G45" s="48"/>
      <c r="H45" s="119"/>
      <c r="I45" s="120"/>
      <c r="J45" s="121"/>
      <c r="K45" s="48"/>
      <c r="L45" s="119"/>
      <c r="M45" s="120"/>
      <c r="N45" s="98"/>
      <c r="O45" s="48"/>
      <c r="P45" s="43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43"/>
      <c r="C46" s="118"/>
      <c r="D46" s="44" t="s">
        <v>107</v>
      </c>
      <c r="E46" s="99" t="s">
        <v>108</v>
      </c>
      <c r="F46" s="69">
        <v>25.0</v>
      </c>
      <c r="G46" s="48"/>
      <c r="H46" s="119"/>
      <c r="I46" s="120"/>
      <c r="J46" s="121"/>
      <c r="K46" s="48"/>
      <c r="L46" s="119"/>
      <c r="M46" s="120"/>
      <c r="N46" s="98"/>
      <c r="O46" s="48"/>
      <c r="P46" s="43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43"/>
      <c r="C47" s="122"/>
      <c r="D47" s="44" t="s">
        <v>109</v>
      </c>
      <c r="E47" s="99" t="s">
        <v>110</v>
      </c>
      <c r="F47" s="113">
        <v>50.0</v>
      </c>
      <c r="G47" s="48"/>
      <c r="H47" s="123"/>
      <c r="I47" s="124"/>
      <c r="J47" s="125"/>
      <c r="K47" s="48"/>
      <c r="L47" s="123"/>
      <c r="M47" s="124"/>
      <c r="N47" s="98"/>
      <c r="O47" s="48"/>
      <c r="P47" s="43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43"/>
      <c r="C48" s="122"/>
      <c r="D48" s="44" t="s">
        <v>111</v>
      </c>
      <c r="E48" s="99" t="s">
        <v>112</v>
      </c>
      <c r="F48" s="69">
        <v>25.0</v>
      </c>
      <c r="G48" s="48"/>
      <c r="H48" s="123"/>
      <c r="I48" s="124"/>
      <c r="J48" s="125"/>
      <c r="K48" s="48"/>
      <c r="L48" s="123"/>
      <c r="M48" s="124"/>
      <c r="N48" s="98"/>
      <c r="O48" s="48"/>
      <c r="P48" s="43"/>
      <c r="Q48" s="7"/>
      <c r="R48" s="7"/>
      <c r="T48" s="7"/>
      <c r="V48" s="7"/>
      <c r="W48" s="7"/>
      <c r="X48" s="7"/>
      <c r="Y48" s="7"/>
      <c r="Z48" s="7"/>
    </row>
    <row r="49" ht="15.75" customHeight="1">
      <c r="A49" s="7"/>
      <c r="B49" s="43"/>
      <c r="C49" s="126"/>
      <c r="D49" s="57" t="s">
        <v>113</v>
      </c>
      <c r="E49" s="127" t="s">
        <v>114</v>
      </c>
      <c r="F49" s="72">
        <v>25.0</v>
      </c>
      <c r="G49" s="48"/>
      <c r="H49" s="123"/>
      <c r="I49" s="124"/>
      <c r="J49" s="125"/>
      <c r="K49" s="48"/>
      <c r="L49" s="123"/>
      <c r="M49" s="124"/>
      <c r="N49" s="98"/>
      <c r="O49" s="48"/>
      <c r="P49" s="43"/>
      <c r="Q49" s="7"/>
      <c r="R49" s="7"/>
      <c r="T49" s="7"/>
      <c r="V49" s="7"/>
      <c r="W49" s="7"/>
      <c r="X49" s="7"/>
      <c r="Y49" s="7"/>
      <c r="Z49" s="7"/>
    </row>
    <row r="50" ht="15.75" customHeight="1">
      <c r="A50" s="7"/>
      <c r="B50" s="50"/>
      <c r="C50" s="128"/>
      <c r="D50" s="51"/>
      <c r="E50" s="129"/>
      <c r="F50" s="77"/>
      <c r="G50" s="55"/>
      <c r="H50" s="130"/>
      <c r="I50" s="131"/>
      <c r="J50" s="132"/>
      <c r="K50" s="55"/>
      <c r="L50" s="130"/>
      <c r="M50" s="131"/>
      <c r="N50" s="133"/>
      <c r="O50" s="55"/>
      <c r="P50" s="50"/>
      <c r="Q50" s="7"/>
      <c r="R50" s="7"/>
      <c r="T50" s="7"/>
      <c r="V50" s="7"/>
      <c r="W50" s="7"/>
      <c r="X50" s="7"/>
      <c r="Y50" s="7"/>
      <c r="Z50" s="7"/>
    </row>
    <row r="51" ht="15.75" customHeight="1">
      <c r="A51" s="7"/>
      <c r="B51" s="111" t="s">
        <v>115</v>
      </c>
      <c r="C51" s="37"/>
      <c r="D51" s="38" t="s">
        <v>116</v>
      </c>
      <c r="E51" s="39" t="s">
        <v>117</v>
      </c>
      <c r="F51" s="134">
        <v>25.0</v>
      </c>
      <c r="G51" s="114">
        <f>SUM(F51:F54)</f>
        <v>125</v>
      </c>
      <c r="H51" s="123"/>
      <c r="I51" s="124"/>
      <c r="J51" s="125"/>
      <c r="K51" s="114">
        <f>SUM(J51:J54)</f>
        <v>0</v>
      </c>
      <c r="L51" s="123"/>
      <c r="M51" s="124"/>
      <c r="N51" s="98"/>
      <c r="O51" s="135"/>
      <c r="P51" s="36">
        <f>G51+K51</f>
        <v>125</v>
      </c>
      <c r="Q51" s="7"/>
      <c r="R51" s="7"/>
      <c r="T51" s="7"/>
      <c r="V51" s="7"/>
      <c r="W51" s="7"/>
      <c r="X51" s="7"/>
      <c r="Y51" s="7"/>
      <c r="Z51" s="7"/>
    </row>
    <row r="52" ht="15.75" customHeight="1">
      <c r="A52" s="7"/>
      <c r="B52" s="43"/>
      <c r="C52" s="37"/>
      <c r="D52" s="44" t="s">
        <v>118</v>
      </c>
      <c r="E52" s="45" t="s">
        <v>119</v>
      </c>
      <c r="F52" s="113">
        <v>50.0</v>
      </c>
      <c r="G52" s="48"/>
      <c r="H52" s="136"/>
      <c r="I52" s="137"/>
      <c r="J52" s="138"/>
      <c r="K52" s="48"/>
      <c r="L52" s="136"/>
      <c r="M52" s="124"/>
      <c r="N52" s="69"/>
      <c r="O52" s="48"/>
      <c r="P52" s="43"/>
      <c r="Q52" s="7"/>
      <c r="R52" s="7"/>
      <c r="T52" s="7"/>
      <c r="V52" s="7"/>
      <c r="W52" s="7"/>
      <c r="X52" s="7"/>
      <c r="Y52" s="7"/>
      <c r="Z52" s="7"/>
    </row>
    <row r="53" ht="15.75" customHeight="1">
      <c r="A53" s="7"/>
      <c r="B53" s="43"/>
      <c r="C53" s="37"/>
      <c r="D53" s="57" t="s">
        <v>120</v>
      </c>
      <c r="E53" s="58" t="s">
        <v>121</v>
      </c>
      <c r="F53" s="139">
        <v>50.0</v>
      </c>
      <c r="G53" s="48"/>
      <c r="H53" s="140"/>
      <c r="I53" s="141"/>
      <c r="J53" s="142"/>
      <c r="K53" s="48"/>
      <c r="L53" s="140"/>
      <c r="M53" s="124"/>
      <c r="N53" s="72"/>
      <c r="O53" s="48"/>
      <c r="P53" s="43"/>
      <c r="Q53" s="7"/>
      <c r="R53" s="7"/>
      <c r="T53" s="7"/>
      <c r="V53" s="7"/>
      <c r="W53" s="7"/>
      <c r="X53" s="7"/>
      <c r="Y53" s="7"/>
      <c r="Z53" s="7"/>
    </row>
    <row r="54" ht="15.75" customHeight="1">
      <c r="A54" s="7"/>
      <c r="B54" s="56"/>
      <c r="C54" s="37"/>
      <c r="D54" s="51"/>
      <c r="E54" s="52"/>
      <c r="F54" s="143"/>
      <c r="G54" s="144"/>
      <c r="H54" s="145"/>
      <c r="I54" s="146"/>
      <c r="J54" s="147"/>
      <c r="K54" s="144"/>
      <c r="L54" s="145"/>
      <c r="M54" s="131"/>
      <c r="N54" s="77"/>
      <c r="O54" s="55"/>
      <c r="P54" s="56"/>
      <c r="Q54" s="7"/>
      <c r="R54" s="7"/>
      <c r="T54" s="7"/>
      <c r="V54" s="7"/>
      <c r="W54" s="7"/>
      <c r="X54" s="7"/>
      <c r="Y54" s="7"/>
      <c r="Z54" s="7"/>
    </row>
    <row r="55" ht="15.75" customHeight="1">
      <c r="A55" s="7"/>
      <c r="B55" s="111" t="s">
        <v>122</v>
      </c>
      <c r="C55" s="37"/>
      <c r="D55" s="38" t="s">
        <v>123</v>
      </c>
      <c r="E55" s="39" t="s">
        <v>124</v>
      </c>
      <c r="F55" s="134">
        <v>25.0</v>
      </c>
      <c r="G55" s="148">
        <f>SUM(F55:F57)</f>
        <v>75</v>
      </c>
      <c r="H55" s="44" t="s">
        <v>125</v>
      </c>
      <c r="I55" s="45" t="s">
        <v>126</v>
      </c>
      <c r="J55" s="149">
        <v>25.0</v>
      </c>
      <c r="K55" s="150">
        <f>SUM(J55:J57)</f>
        <v>25</v>
      </c>
      <c r="L55" s="115"/>
      <c r="M55" s="124"/>
      <c r="N55" s="66"/>
      <c r="O55" s="151">
        <f>SUM(N55:N57)</f>
        <v>0</v>
      </c>
      <c r="P55" s="152">
        <f>SUM(G55,K55,O55)</f>
        <v>100</v>
      </c>
      <c r="Q55" s="7"/>
      <c r="R55" s="7"/>
      <c r="T55" s="7"/>
      <c r="V55" s="7"/>
      <c r="W55" s="7"/>
      <c r="X55" s="7"/>
      <c r="Y55" s="7"/>
      <c r="Z55" s="7"/>
    </row>
    <row r="56" ht="15.75" customHeight="1">
      <c r="A56" s="7"/>
      <c r="B56" s="43"/>
      <c r="C56" s="37"/>
      <c r="D56" s="44" t="s">
        <v>127</v>
      </c>
      <c r="E56" s="45" t="s">
        <v>128</v>
      </c>
      <c r="F56" s="113">
        <v>50.0</v>
      </c>
      <c r="G56" s="153"/>
      <c r="H56" s="140"/>
      <c r="I56" s="141"/>
      <c r="J56" s="154"/>
      <c r="K56" s="155"/>
      <c r="L56" s="156"/>
      <c r="M56" s="157"/>
      <c r="N56" s="158"/>
      <c r="O56" s="159"/>
      <c r="P56" s="43"/>
      <c r="Q56" s="7"/>
      <c r="R56" s="7"/>
      <c r="T56" s="7"/>
      <c r="V56" s="7"/>
      <c r="W56" s="7"/>
      <c r="X56" s="7"/>
      <c r="Y56" s="7"/>
      <c r="Z56" s="7"/>
    </row>
    <row r="57" ht="15.75" customHeight="1">
      <c r="A57" s="7"/>
      <c r="B57" s="50"/>
      <c r="C57" s="37"/>
      <c r="D57" s="44"/>
      <c r="E57" s="45"/>
      <c r="F57" s="143"/>
      <c r="G57" s="160"/>
      <c r="H57" s="145"/>
      <c r="I57" s="146"/>
      <c r="J57" s="147"/>
      <c r="K57" s="161"/>
      <c r="L57" s="140"/>
      <c r="M57" s="141"/>
      <c r="N57" s="72"/>
      <c r="O57" s="162"/>
      <c r="P57" s="50"/>
      <c r="Q57" s="7"/>
      <c r="R57" s="7"/>
      <c r="T57" s="7"/>
      <c r="V57" s="7"/>
      <c r="W57" s="7"/>
      <c r="X57" s="7"/>
      <c r="Y57" s="7"/>
      <c r="Z57" s="7"/>
    </row>
    <row r="58" ht="15.75" customHeight="1">
      <c r="A58" s="7"/>
      <c r="B58" s="163" t="s">
        <v>129</v>
      </c>
      <c r="C58" s="37"/>
      <c r="D58" s="38" t="s">
        <v>130</v>
      </c>
      <c r="E58" s="39" t="s">
        <v>131</v>
      </c>
      <c r="F58" s="134">
        <v>50.0</v>
      </c>
      <c r="G58" s="164">
        <f>SUM(F58:F60)</f>
        <v>75</v>
      </c>
      <c r="H58" s="165" t="s">
        <v>132</v>
      </c>
      <c r="I58" s="166" t="s">
        <v>133</v>
      </c>
      <c r="J58" s="167">
        <v>50.0</v>
      </c>
      <c r="K58" s="114">
        <f>SUM(J58:J60)</f>
        <v>100</v>
      </c>
      <c r="L58" s="165" t="s">
        <v>134</v>
      </c>
      <c r="M58" s="166" t="s">
        <v>135</v>
      </c>
      <c r="N58" s="168">
        <v>50.0</v>
      </c>
      <c r="O58" s="42">
        <f>SUM(N58:N60)</f>
        <v>75</v>
      </c>
      <c r="P58" s="36">
        <f>SUM(G58,K58,O58)</f>
        <v>250</v>
      </c>
      <c r="Q58" s="7"/>
      <c r="R58" s="7"/>
      <c r="T58" s="7"/>
      <c r="V58" s="7"/>
      <c r="W58" s="7"/>
      <c r="X58" s="7"/>
      <c r="Y58" s="7"/>
      <c r="Z58" s="7"/>
    </row>
    <row r="59" ht="15.75" customHeight="1">
      <c r="A59" s="7"/>
      <c r="B59" s="43"/>
      <c r="C59" s="37"/>
      <c r="D59" s="44" t="s">
        <v>136</v>
      </c>
      <c r="E59" s="45" t="s">
        <v>137</v>
      </c>
      <c r="F59" s="113">
        <v>25.0</v>
      </c>
      <c r="G59" s="47"/>
      <c r="H59" s="169" t="s">
        <v>138</v>
      </c>
      <c r="I59" s="170" t="s">
        <v>139</v>
      </c>
      <c r="J59" s="171">
        <v>50.0</v>
      </c>
      <c r="K59" s="48"/>
      <c r="L59" s="169" t="s">
        <v>140</v>
      </c>
      <c r="M59" s="170" t="s">
        <v>141</v>
      </c>
      <c r="N59" s="171">
        <v>25.0</v>
      </c>
      <c r="O59" s="48"/>
      <c r="P59" s="43"/>
      <c r="Q59" s="7"/>
      <c r="R59" s="7"/>
      <c r="T59" s="7"/>
      <c r="V59" s="7"/>
      <c r="W59" s="7"/>
      <c r="X59" s="7"/>
      <c r="Y59" s="7"/>
      <c r="Z59" s="7"/>
    </row>
    <row r="60" ht="15.75" customHeight="1">
      <c r="A60" s="7"/>
      <c r="B60" s="50"/>
      <c r="C60" s="37"/>
      <c r="D60" s="44"/>
      <c r="E60" s="45"/>
      <c r="F60" s="113"/>
      <c r="G60" s="54"/>
      <c r="H60" s="169"/>
      <c r="I60" s="170"/>
      <c r="J60" s="171"/>
      <c r="K60" s="55"/>
      <c r="L60" s="172"/>
      <c r="M60" s="173"/>
      <c r="N60" s="174"/>
      <c r="O60" s="55"/>
      <c r="P60" s="50"/>
      <c r="Q60" s="7"/>
      <c r="R60" s="7"/>
      <c r="T60" s="7"/>
      <c r="V60" s="7"/>
      <c r="W60" s="7"/>
      <c r="X60" s="7"/>
      <c r="Y60" s="7"/>
      <c r="Z60" s="7"/>
    </row>
    <row r="61" ht="15.75" customHeight="1">
      <c r="A61" s="7"/>
      <c r="B61" s="175" t="s">
        <v>142</v>
      </c>
      <c r="C61" s="37"/>
      <c r="D61" s="38"/>
      <c r="E61" s="39"/>
      <c r="F61" s="66"/>
      <c r="G61" s="176">
        <f>SUM(F61:F65)</f>
        <v>0</v>
      </c>
      <c r="H61" s="177" t="s">
        <v>143</v>
      </c>
      <c r="I61" s="39" t="s">
        <v>144</v>
      </c>
      <c r="J61" s="178">
        <v>50.0</v>
      </c>
      <c r="K61" s="176">
        <f>SUM(J61:J65)</f>
        <v>200</v>
      </c>
      <c r="L61" s="115"/>
      <c r="M61" s="116"/>
      <c r="N61" s="179"/>
      <c r="O61" s="180">
        <f>SUM(N61:N65)</f>
        <v>0</v>
      </c>
      <c r="P61" s="36">
        <f>SUM(G61,K61,O61)</f>
        <v>200</v>
      </c>
      <c r="Q61" s="7"/>
      <c r="R61" s="7"/>
      <c r="T61" s="7"/>
      <c r="V61" s="7"/>
      <c r="W61" s="7"/>
      <c r="X61" s="7"/>
      <c r="Y61" s="7"/>
      <c r="Z61" s="7"/>
    </row>
    <row r="62" ht="15.75" customHeight="1">
      <c r="A62" s="7"/>
      <c r="B62" s="43"/>
      <c r="C62" s="37"/>
      <c r="D62" s="44"/>
      <c r="E62" s="45"/>
      <c r="F62" s="69"/>
      <c r="G62" s="97"/>
      <c r="H62" s="181" t="s">
        <v>145</v>
      </c>
      <c r="I62" s="45" t="s">
        <v>146</v>
      </c>
      <c r="J62" s="182">
        <v>50.0</v>
      </c>
      <c r="K62" s="97"/>
      <c r="L62" s="123"/>
      <c r="M62" s="124"/>
      <c r="N62" s="183"/>
      <c r="O62" s="159"/>
      <c r="P62" s="43"/>
      <c r="Q62" s="7"/>
      <c r="R62" s="7"/>
      <c r="T62" s="7"/>
      <c r="V62" s="7"/>
      <c r="W62" s="7"/>
      <c r="X62" s="7"/>
      <c r="Y62" s="7"/>
      <c r="Z62" s="7"/>
    </row>
    <row r="63" ht="15.75" customHeight="1">
      <c r="A63" s="7"/>
      <c r="B63" s="43"/>
      <c r="C63" s="37"/>
      <c r="D63" s="136"/>
      <c r="E63" s="137"/>
      <c r="F63" s="138"/>
      <c r="G63" s="97"/>
      <c r="H63" s="181" t="s">
        <v>147</v>
      </c>
      <c r="I63" s="45" t="s">
        <v>148</v>
      </c>
      <c r="J63" s="182">
        <v>50.0</v>
      </c>
      <c r="K63" s="97"/>
      <c r="L63" s="136"/>
      <c r="M63" s="124"/>
      <c r="N63" s="184"/>
      <c r="O63" s="159"/>
      <c r="P63" s="43"/>
      <c r="Q63" s="7"/>
      <c r="R63" s="7"/>
      <c r="T63" s="7"/>
      <c r="V63" s="7"/>
      <c r="W63" s="7"/>
      <c r="X63" s="7"/>
      <c r="Y63" s="7"/>
      <c r="Z63" s="7"/>
    </row>
    <row r="64" ht="15.75" customHeight="1">
      <c r="A64" s="7"/>
      <c r="B64" s="43"/>
      <c r="C64" s="185"/>
      <c r="D64" s="140"/>
      <c r="E64" s="141"/>
      <c r="F64" s="142"/>
      <c r="G64" s="97"/>
      <c r="H64" s="186" t="s">
        <v>149</v>
      </c>
      <c r="I64" s="58" t="s">
        <v>150</v>
      </c>
      <c r="J64" s="187">
        <v>50.0</v>
      </c>
      <c r="K64" s="97"/>
      <c r="L64" s="140"/>
      <c r="M64" s="124"/>
      <c r="N64" s="188"/>
      <c r="O64" s="159"/>
      <c r="P64" s="43"/>
      <c r="Q64" s="7"/>
      <c r="R64" s="7"/>
      <c r="T64" s="7"/>
      <c r="V64" s="7"/>
      <c r="W64" s="7"/>
      <c r="X64" s="7"/>
      <c r="Y64" s="7"/>
      <c r="Z64" s="7"/>
    </row>
    <row r="65" ht="15.75" customHeight="1">
      <c r="A65" s="7"/>
      <c r="B65" s="50"/>
      <c r="C65" s="189"/>
      <c r="D65" s="145"/>
      <c r="E65" s="146"/>
      <c r="F65" s="147"/>
      <c r="G65" s="190"/>
      <c r="H65" s="191"/>
      <c r="I65" s="52"/>
      <c r="J65" s="192"/>
      <c r="K65" s="102"/>
      <c r="L65" s="145"/>
      <c r="M65" s="131"/>
      <c r="N65" s="193"/>
      <c r="O65" s="162"/>
      <c r="P65" s="50"/>
      <c r="Q65" s="7"/>
      <c r="R65" s="7"/>
      <c r="T65" s="7"/>
      <c r="V65" s="7"/>
      <c r="W65" s="7"/>
      <c r="X65" s="7"/>
      <c r="Y65" s="7"/>
      <c r="Z65" s="7"/>
    </row>
    <row r="66" ht="15.75" customHeight="1">
      <c r="A66" s="7"/>
      <c r="B66" s="111" t="s">
        <v>151</v>
      </c>
      <c r="C66" s="185"/>
      <c r="D66" s="104"/>
      <c r="E66" s="49"/>
      <c r="F66" s="98"/>
      <c r="G66" s="148">
        <f>SUM(F67)</f>
        <v>0</v>
      </c>
      <c r="H66" s="119"/>
      <c r="I66" s="194"/>
      <c r="J66" s="121"/>
      <c r="K66" s="150">
        <f>SUM(J67)</f>
        <v>0</v>
      </c>
      <c r="L66" s="165" t="s">
        <v>152</v>
      </c>
      <c r="M66" s="166" t="s">
        <v>153</v>
      </c>
      <c r="N66" s="167">
        <v>50.0</v>
      </c>
      <c r="O66" s="151">
        <f>SUM(N66)</f>
        <v>50</v>
      </c>
      <c r="P66" s="152">
        <f>SUM(G66,K66,N66)</f>
        <v>50</v>
      </c>
      <c r="Q66" s="7"/>
      <c r="R66" s="7"/>
      <c r="T66" s="7"/>
      <c r="V66" s="7"/>
      <c r="W66" s="7"/>
      <c r="X66" s="7"/>
      <c r="Y66" s="7"/>
      <c r="Z66" s="7"/>
    </row>
    <row r="67" ht="15.75" customHeight="1">
      <c r="A67" s="7"/>
      <c r="B67" s="50"/>
      <c r="C67" s="37"/>
      <c r="D67" s="38"/>
      <c r="E67" s="195"/>
      <c r="F67" s="133"/>
      <c r="G67" s="160"/>
      <c r="H67" s="130"/>
      <c r="I67" s="131"/>
      <c r="J67" s="132"/>
      <c r="K67" s="161"/>
      <c r="L67" s="196"/>
      <c r="M67" s="197"/>
      <c r="N67" s="198"/>
      <c r="O67" s="162"/>
      <c r="P67" s="50"/>
      <c r="Q67" s="7"/>
      <c r="R67" s="7"/>
      <c r="T67" s="7"/>
      <c r="V67" s="7"/>
      <c r="W67" s="7"/>
      <c r="X67" s="7"/>
      <c r="Y67" s="7"/>
      <c r="Z67" s="7"/>
    </row>
    <row r="68" ht="15.75" customHeight="1">
      <c r="A68" s="7"/>
      <c r="B68" s="163" t="s">
        <v>154</v>
      </c>
      <c r="C68" s="37"/>
      <c r="D68" s="38"/>
      <c r="E68" s="39"/>
      <c r="F68" s="66"/>
      <c r="G68" s="164">
        <f>SUM(F68:F70)</f>
        <v>0</v>
      </c>
      <c r="H68" s="119"/>
      <c r="I68" s="120"/>
      <c r="J68" s="199"/>
      <c r="K68" s="114">
        <f>SUM(J68:J70)</f>
        <v>0</v>
      </c>
      <c r="L68" s="165" t="s">
        <v>155</v>
      </c>
      <c r="M68" s="166" t="s">
        <v>156</v>
      </c>
      <c r="N68" s="168">
        <v>25.0</v>
      </c>
      <c r="O68" s="200">
        <f>SUM(N68:N70)</f>
        <v>50</v>
      </c>
      <c r="P68" s="36">
        <f>SUM(G68,K68,O68)</f>
        <v>50</v>
      </c>
      <c r="Q68" s="7"/>
      <c r="R68" s="7"/>
      <c r="T68" s="7"/>
      <c r="V68" s="7"/>
      <c r="X68" s="7"/>
      <c r="Z68" s="7"/>
      <c r="AB68" s="7"/>
    </row>
    <row r="69" ht="15.75" customHeight="1">
      <c r="A69" s="7"/>
      <c r="B69" s="43"/>
      <c r="C69" s="37"/>
      <c r="D69" s="104"/>
      <c r="E69" s="103"/>
      <c r="F69" s="158"/>
      <c r="G69" s="47"/>
      <c r="H69" s="119"/>
      <c r="I69" s="157"/>
      <c r="J69" s="199"/>
      <c r="K69" s="48"/>
      <c r="L69" s="201" t="s">
        <v>157</v>
      </c>
      <c r="M69" s="202" t="s">
        <v>158</v>
      </c>
      <c r="N69" s="203">
        <v>25.0</v>
      </c>
      <c r="O69" s="204"/>
      <c r="P69" s="43"/>
      <c r="Q69" s="7"/>
      <c r="R69" s="7"/>
      <c r="T69" s="7"/>
      <c r="V69" s="7"/>
      <c r="X69" s="7"/>
      <c r="Z69" s="7"/>
      <c r="AB69" s="7"/>
    </row>
    <row r="70" ht="15.75" customHeight="1">
      <c r="A70" s="7"/>
      <c r="B70" s="50"/>
      <c r="C70" s="37"/>
      <c r="D70" s="51"/>
      <c r="E70" s="52"/>
      <c r="F70" s="77"/>
      <c r="G70" s="54"/>
      <c r="H70" s="136"/>
      <c r="I70" s="146"/>
      <c r="J70" s="205"/>
      <c r="K70" s="55"/>
      <c r="L70" s="172"/>
      <c r="M70" s="173"/>
      <c r="N70" s="174"/>
      <c r="O70" s="206"/>
      <c r="P70" s="50"/>
      <c r="Q70" s="7"/>
      <c r="R70" s="7"/>
      <c r="T70" s="7"/>
      <c r="V70" s="7"/>
      <c r="X70" s="7"/>
      <c r="Z70" s="7"/>
      <c r="AB70" s="7"/>
    </row>
    <row r="71" ht="15.75" customHeight="1">
      <c r="A71" s="7"/>
      <c r="B71" s="175" t="s">
        <v>159</v>
      </c>
      <c r="C71" s="37"/>
      <c r="D71" s="38"/>
      <c r="E71" s="39"/>
      <c r="F71" s="66"/>
      <c r="G71" s="164">
        <f>SUM(F71:F73)</f>
        <v>0</v>
      </c>
      <c r="H71" s="115"/>
      <c r="I71" s="116"/>
      <c r="J71" s="207"/>
      <c r="K71" s="114">
        <f>SUM(J71:J73)</f>
        <v>0</v>
      </c>
      <c r="L71" s="165" t="s">
        <v>160</v>
      </c>
      <c r="M71" s="166" t="s">
        <v>161</v>
      </c>
      <c r="N71" s="168">
        <v>50.0</v>
      </c>
      <c r="O71" s="42">
        <f>SUM(N71:N73)</f>
        <v>75</v>
      </c>
      <c r="P71" s="36">
        <f>SUM(G71,K71,O71)</f>
        <v>75</v>
      </c>
      <c r="Q71" s="7"/>
      <c r="R71" s="7"/>
      <c r="T71" s="7"/>
      <c r="V71" s="7"/>
      <c r="X71" s="7"/>
      <c r="Z71" s="7"/>
      <c r="AB71" s="7"/>
    </row>
    <row r="72" ht="15.75" customHeight="1">
      <c r="A72" s="7"/>
      <c r="B72" s="43"/>
      <c r="C72" s="185"/>
      <c r="D72" s="156"/>
      <c r="E72" s="157"/>
      <c r="F72" s="154"/>
      <c r="G72" s="47"/>
      <c r="H72" s="119"/>
      <c r="I72" s="157"/>
      <c r="J72" s="208"/>
      <c r="K72" s="48"/>
      <c r="L72" s="201" t="s">
        <v>162</v>
      </c>
      <c r="M72" s="202" t="s">
        <v>163</v>
      </c>
      <c r="N72" s="203">
        <v>25.0</v>
      </c>
      <c r="O72" s="48"/>
      <c r="P72" s="43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50"/>
      <c r="C73" s="189"/>
      <c r="D73" s="145"/>
      <c r="E73" s="146"/>
      <c r="F73" s="147"/>
      <c r="G73" s="209"/>
      <c r="H73" s="136"/>
      <c r="I73" s="146"/>
      <c r="J73" s="210"/>
      <c r="K73" s="55"/>
      <c r="L73" s="172"/>
      <c r="M73" s="173"/>
      <c r="N73" s="174"/>
      <c r="O73" s="55"/>
      <c r="P73" s="50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211" t="s">
        <v>164</v>
      </c>
      <c r="C74" s="212"/>
      <c r="D74" s="213"/>
      <c r="E74" s="214"/>
      <c r="F74" s="215"/>
      <c r="G74" s="215">
        <f>SUM(G7,G28,G42)</f>
        <v>1125</v>
      </c>
      <c r="H74" s="215"/>
      <c r="I74" s="215"/>
      <c r="J74" s="215"/>
      <c r="K74" s="215">
        <f>SUM(K7,K28,K42)</f>
        <v>816</v>
      </c>
      <c r="L74" s="215"/>
      <c r="M74" s="215"/>
      <c r="N74" s="215"/>
      <c r="O74" s="215">
        <f t="shared" ref="O74:P74" si="1">SUM(O7,O28,O42)</f>
        <v>659</v>
      </c>
      <c r="P74" s="211">
        <f t="shared" si="1"/>
        <v>2600</v>
      </c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216" t="s">
        <v>165</v>
      </c>
      <c r="C75" s="37"/>
      <c r="D75" s="217"/>
      <c r="E75" s="16"/>
      <c r="F75" s="17"/>
      <c r="G75" s="67"/>
      <c r="H75" s="217"/>
      <c r="I75" s="16"/>
      <c r="J75" s="17"/>
      <c r="K75" s="67">
        <v>280.0</v>
      </c>
      <c r="L75" s="217"/>
      <c r="M75" s="16"/>
      <c r="N75" s="17"/>
      <c r="O75" s="218">
        <v>420.0</v>
      </c>
      <c r="P75" s="35">
        <f>SUM(K75,G75,O75)</f>
        <v>700</v>
      </c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219"/>
      <c r="C76" s="220"/>
      <c r="D76" s="219"/>
      <c r="E76" s="221"/>
      <c r="F76" s="219"/>
      <c r="G76" s="219"/>
      <c r="H76" s="219"/>
      <c r="I76" s="219"/>
      <c r="J76" s="219"/>
      <c r="K76" s="221"/>
      <c r="L76" s="219"/>
      <c r="M76" s="219"/>
      <c r="N76" s="219"/>
      <c r="O76" s="219"/>
      <c r="P76" s="222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211" t="s">
        <v>166</v>
      </c>
      <c r="C77" s="212"/>
      <c r="D77" s="213"/>
      <c r="E77" s="223" t="s">
        <v>12</v>
      </c>
      <c r="F77" s="19"/>
      <c r="G77" s="224">
        <f>SUM(G74:G75)</f>
        <v>1125</v>
      </c>
      <c r="H77" s="215"/>
      <c r="I77" s="223" t="s">
        <v>12</v>
      </c>
      <c r="J77" s="19"/>
      <c r="K77" s="224">
        <f>SUM(K74:K75)</f>
        <v>1096</v>
      </c>
      <c r="L77" s="215"/>
      <c r="M77" s="223" t="s">
        <v>12</v>
      </c>
      <c r="N77" s="19"/>
      <c r="O77" s="224">
        <f>SUM(O74:O75)</f>
        <v>1079</v>
      </c>
      <c r="P77" s="225">
        <f>SUM(G77,K77,O77)</f>
        <v>3300</v>
      </c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8"/>
      <c r="C78" s="11"/>
      <c r="D78" s="9"/>
      <c r="E78" s="7"/>
      <c r="F78" s="8"/>
      <c r="G78" s="8"/>
      <c r="H78" s="9"/>
      <c r="I78" s="8"/>
      <c r="J78" s="8"/>
      <c r="K78" s="8"/>
      <c r="L78" s="9"/>
      <c r="M78" s="8"/>
      <c r="N78" s="8"/>
      <c r="O78" s="8"/>
      <c r="P78" s="8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226" t="s">
        <v>167</v>
      </c>
      <c r="C79" s="11"/>
      <c r="D79" s="227" t="s">
        <v>168</v>
      </c>
      <c r="E79" s="228"/>
      <c r="F79" s="229"/>
      <c r="G79" s="230">
        <v>27.0</v>
      </c>
      <c r="H79" s="227" t="s">
        <v>169</v>
      </c>
      <c r="I79" s="228"/>
      <c r="J79" s="229"/>
      <c r="K79" s="230">
        <v>27.0</v>
      </c>
      <c r="L79" s="227" t="s">
        <v>170</v>
      </c>
      <c r="M79" s="228"/>
      <c r="N79" s="229"/>
      <c r="O79" s="230">
        <v>27.0</v>
      </c>
      <c r="P79" s="225">
        <f>SUM(G79,K79,O79)</f>
        <v>81</v>
      </c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05">
    <mergeCell ref="O17:O23"/>
    <mergeCell ref="O29:O32"/>
    <mergeCell ref="P12:P14"/>
    <mergeCell ref="O15:O16"/>
    <mergeCell ref="P15:P16"/>
    <mergeCell ref="K17:K23"/>
    <mergeCell ref="P17:P23"/>
    <mergeCell ref="K24:K27"/>
    <mergeCell ref="P29:P32"/>
    <mergeCell ref="B12:B14"/>
    <mergeCell ref="B15:B16"/>
    <mergeCell ref="B17:B23"/>
    <mergeCell ref="B24:B27"/>
    <mergeCell ref="B29:B32"/>
    <mergeCell ref="C29:C41"/>
    <mergeCell ref="B33:B37"/>
    <mergeCell ref="B68:B70"/>
    <mergeCell ref="B66:B67"/>
    <mergeCell ref="B38:B41"/>
    <mergeCell ref="B43:B50"/>
    <mergeCell ref="B51:B54"/>
    <mergeCell ref="B55:B57"/>
    <mergeCell ref="B61:B65"/>
    <mergeCell ref="B58:B60"/>
    <mergeCell ref="B71:B73"/>
    <mergeCell ref="O43:O50"/>
    <mergeCell ref="O51:O54"/>
    <mergeCell ref="O55:O57"/>
    <mergeCell ref="O61:O65"/>
    <mergeCell ref="O58:O60"/>
    <mergeCell ref="O66:O67"/>
    <mergeCell ref="P51:P54"/>
    <mergeCell ref="P55:P57"/>
    <mergeCell ref="P61:P65"/>
    <mergeCell ref="P58:P60"/>
    <mergeCell ref="P66:P67"/>
    <mergeCell ref="O8:O11"/>
    <mergeCell ref="O12:O14"/>
    <mergeCell ref="O33:O37"/>
    <mergeCell ref="P33:P37"/>
    <mergeCell ref="O38:O41"/>
    <mergeCell ref="P38:P41"/>
    <mergeCell ref="P43:P50"/>
    <mergeCell ref="G8:G11"/>
    <mergeCell ref="G12:G14"/>
    <mergeCell ref="G15:G16"/>
    <mergeCell ref="G17:G23"/>
    <mergeCell ref="G24:G27"/>
    <mergeCell ref="E28:F28"/>
    <mergeCell ref="G29:G32"/>
    <mergeCell ref="G61:G65"/>
    <mergeCell ref="G58:G60"/>
    <mergeCell ref="G33:G37"/>
    <mergeCell ref="G38:G41"/>
    <mergeCell ref="E42:F42"/>
    <mergeCell ref="G43:G50"/>
    <mergeCell ref="G51:G54"/>
    <mergeCell ref="G55:G57"/>
    <mergeCell ref="G66:G67"/>
    <mergeCell ref="G68:G70"/>
    <mergeCell ref="B1:P1"/>
    <mergeCell ref="C2:E2"/>
    <mergeCell ref="C3:E3"/>
    <mergeCell ref="D5:G5"/>
    <mergeCell ref="H5:K5"/>
    <mergeCell ref="L5:O5"/>
    <mergeCell ref="E7:F7"/>
    <mergeCell ref="I7:J7"/>
    <mergeCell ref="M7:N7"/>
    <mergeCell ref="B8:B11"/>
    <mergeCell ref="K8:K11"/>
    <mergeCell ref="P8:P11"/>
    <mergeCell ref="K12:K14"/>
    <mergeCell ref="K15:K16"/>
    <mergeCell ref="O24:O27"/>
    <mergeCell ref="P24:P27"/>
    <mergeCell ref="I28:J28"/>
    <mergeCell ref="M28:N28"/>
    <mergeCell ref="O68:O70"/>
    <mergeCell ref="P68:P70"/>
    <mergeCell ref="O71:O73"/>
    <mergeCell ref="P71:P73"/>
    <mergeCell ref="K55:K57"/>
    <mergeCell ref="K61:K65"/>
    <mergeCell ref="K58:K60"/>
    <mergeCell ref="K66:K67"/>
    <mergeCell ref="K68:K70"/>
    <mergeCell ref="K71:K73"/>
    <mergeCell ref="K29:K32"/>
    <mergeCell ref="K33:K37"/>
    <mergeCell ref="K38:K41"/>
    <mergeCell ref="I42:J42"/>
    <mergeCell ref="M42:N42"/>
    <mergeCell ref="K43:K50"/>
    <mergeCell ref="K51:K54"/>
    <mergeCell ref="D79:F79"/>
    <mergeCell ref="H79:J79"/>
    <mergeCell ref="L79:N79"/>
    <mergeCell ref="D75:F75"/>
    <mergeCell ref="H75:J75"/>
    <mergeCell ref="L75:N75"/>
    <mergeCell ref="E77:F77"/>
    <mergeCell ref="I77:J77"/>
    <mergeCell ref="M77:N77"/>
    <mergeCell ref="G71:G73"/>
  </mergeCells>
  <printOptions horizontalCentered="1" verticalCentered="1"/>
  <pageMargins bottom="1.4566666666666668" footer="0.0" header="0.0" left="0.7" right="0.7" top="0.75"/>
  <pageSetup fitToWidth="0" paperSize="8" orientation="landscape"/>
  <headerFooter>
    <oddHeader>&amp;CESTRUTURA MODULAR</oddHeader>
    <oddFooter>&amp;L 00-046IMP.DP.022-03&amp;CViseu, 27 de junho de 2022 A Direção Pedagógica, &amp;R 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2025-09-21T09:17:24Z</dcterms:created>
  <dc:creator>Rui Silva</dc:creator>
</cp:coreProperties>
</file>